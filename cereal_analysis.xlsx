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Telegram Desktop\Educational Resources\"/>
    </mc:Choice>
  </mc:AlternateContent>
  <xr:revisionPtr revIDLastSave="0" documentId="13_ncr:1_{952E5F81-0595-41CF-8D48-1B69DD1D6A8C}" xr6:coauthVersionLast="45" xr6:coauthVersionMax="45" xr10:uidLastSave="{00000000-0000-0000-0000-000000000000}"/>
  <bookViews>
    <workbookView xWindow="-108" yWindow="-108" windowWidth="23256" windowHeight="12576" activeTab="1" xr2:uid="{00000000-000D-0000-FFFF-FFFF00000000}"/>
  </bookViews>
  <sheets>
    <sheet name="Pivot" sheetId="4" r:id="rId1"/>
    <sheet name="Dashboard" sheetId="5" r:id="rId2"/>
    <sheet name="cereal" sheetId="1" r:id="rId3"/>
  </sheets>
  <definedNames>
    <definedName name="_xlnm._FilterDatabase" localSheetId="2" hidden="1">cereal!$A$1:$S$78</definedName>
  </definedNames>
  <calcPr calcId="191029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2" i="1"/>
  <c r="J78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2" i="1"/>
</calcChain>
</file>

<file path=xl/sharedStrings.xml><?xml version="1.0" encoding="utf-8"?>
<sst xmlns="http://schemas.openxmlformats.org/spreadsheetml/2006/main" count="292" uniqueCount="119">
  <si>
    <t>name</t>
  </si>
  <si>
    <t>mfr</t>
  </si>
  <si>
    <t>type</t>
  </si>
  <si>
    <t>calories</t>
  </si>
  <si>
    <t>protein</t>
  </si>
  <si>
    <t>fat</t>
  </si>
  <si>
    <t>sodium</t>
  </si>
  <si>
    <t>fiber</t>
  </si>
  <si>
    <t>carbo</t>
  </si>
  <si>
    <t>sugars</t>
  </si>
  <si>
    <t>potass</t>
  </si>
  <si>
    <t>vitamins</t>
  </si>
  <si>
    <t>shelf</t>
  </si>
  <si>
    <t>weight</t>
  </si>
  <si>
    <t>cups</t>
  </si>
  <si>
    <t>rating</t>
  </si>
  <si>
    <t>100% Bran</t>
  </si>
  <si>
    <t>N</t>
  </si>
  <si>
    <t>C</t>
  </si>
  <si>
    <t>100% Natural Bran</t>
  </si>
  <si>
    <t>Q</t>
  </si>
  <si>
    <t>All-Bran</t>
  </si>
  <si>
    <t>K</t>
  </si>
  <si>
    <t>All-Bran with Extra Fiber</t>
  </si>
  <si>
    <t>Almond Delight</t>
  </si>
  <si>
    <t>R</t>
  </si>
  <si>
    <t>Apple Cinnamon Cheerios</t>
  </si>
  <si>
    <t>G</t>
  </si>
  <si>
    <t>Apple Jacks</t>
  </si>
  <si>
    <t>Basic 4</t>
  </si>
  <si>
    <t>Bran Chex</t>
  </si>
  <si>
    <t>Bran Flakes</t>
  </si>
  <si>
    <t>P</t>
  </si>
  <si>
    <t>Cap'n'Crunch</t>
  </si>
  <si>
    <t>Cheerios</t>
  </si>
  <si>
    <t>Cinnamon Toast Crunch</t>
  </si>
  <si>
    <t>Clusters</t>
  </si>
  <si>
    <t>Cocoa Puffs</t>
  </si>
  <si>
    <t>Corn Chex</t>
  </si>
  <si>
    <t>Corn Flakes</t>
  </si>
  <si>
    <t>Corn Pops</t>
  </si>
  <si>
    <t>Count Chocula</t>
  </si>
  <si>
    <t>Cracklin' Oat Bran</t>
  </si>
  <si>
    <t>Cream of Wheat (Quick)</t>
  </si>
  <si>
    <t>H</t>
  </si>
  <si>
    <t>Crispix</t>
  </si>
  <si>
    <t>Crispy Wheat &amp; Raisins</t>
  </si>
  <si>
    <t>Double Chex</t>
  </si>
  <si>
    <t>Froot Loops</t>
  </si>
  <si>
    <t>Frosted Flakes</t>
  </si>
  <si>
    <t>Frosted Mini-Wheats</t>
  </si>
  <si>
    <t>Fruit &amp; Fibre Dates; Walnuts; and Oats</t>
  </si>
  <si>
    <t>Fruitful Bran</t>
  </si>
  <si>
    <t>Fruity Pebbles</t>
  </si>
  <si>
    <t>Golden Crisp</t>
  </si>
  <si>
    <t>Golden Grahams</t>
  </si>
  <si>
    <t>Grape Nuts Flakes</t>
  </si>
  <si>
    <t>Grape-Nuts</t>
  </si>
  <si>
    <t>Great Grains Pecan</t>
  </si>
  <si>
    <t>Honey Graham Ohs</t>
  </si>
  <si>
    <t>Honey Nut Cheerios</t>
  </si>
  <si>
    <t>Honey-comb</t>
  </si>
  <si>
    <t>Just Right Crunchy  Nuggets</t>
  </si>
  <si>
    <t>Just Right Fruit &amp; Nut</t>
  </si>
  <si>
    <t>Kix</t>
  </si>
  <si>
    <t>Life</t>
  </si>
  <si>
    <t>Lucky Charms</t>
  </si>
  <si>
    <t>Maypo</t>
  </si>
  <si>
    <t>A</t>
  </si>
  <si>
    <t>Muesli Raisins; Dates; &amp; Almonds</t>
  </si>
  <si>
    <t>Muesli Raisins; Peaches; &amp; Pecans</t>
  </si>
  <si>
    <t>Mueslix Crispy Blend</t>
  </si>
  <si>
    <t>Multi-Grain Cheerios</t>
  </si>
  <si>
    <t>Nut&amp;Honey Crunch</t>
  </si>
  <si>
    <t>Nutri-Grain Almond-Raisin</t>
  </si>
  <si>
    <t>Nutri-grain Wheat</t>
  </si>
  <si>
    <t>Oatmeal Raisin Crisp</t>
  </si>
  <si>
    <t>Post Nat. Raisin Bran</t>
  </si>
  <si>
    <t>Product 19</t>
  </si>
  <si>
    <t>Puffed Rice</t>
  </si>
  <si>
    <t>Puffed Wheat</t>
  </si>
  <si>
    <t>Quaker Oat Squares</t>
  </si>
  <si>
    <t>Raisin Bran</t>
  </si>
  <si>
    <t>Raisin Nut Bran</t>
  </si>
  <si>
    <t>Raisin Squares</t>
  </si>
  <si>
    <t>Rice Chex</t>
  </si>
  <si>
    <t>Rice Krispies</t>
  </si>
  <si>
    <t>Shredded Wheat</t>
  </si>
  <si>
    <t>Shredded Wheat 'n'Bran</t>
  </si>
  <si>
    <t>Shredded Wheat spoon size</t>
  </si>
  <si>
    <t>Smacks</t>
  </si>
  <si>
    <t>Special K</t>
  </si>
  <si>
    <t>Strawberry Fruit Wheats</t>
  </si>
  <si>
    <t>Total Corn Flakes</t>
  </si>
  <si>
    <t>Total Raisin Bran</t>
  </si>
  <si>
    <t>Total Whole Grain</t>
  </si>
  <si>
    <t>Triples</t>
  </si>
  <si>
    <t>Trix</t>
  </si>
  <si>
    <t>Wheat Chex</t>
  </si>
  <si>
    <t>Wheaties</t>
  </si>
  <si>
    <t>Wheaties Honey Gold</t>
  </si>
  <si>
    <t>Sugar Level</t>
  </si>
  <si>
    <t>Health Score</t>
  </si>
  <si>
    <t>Row Labels</t>
  </si>
  <si>
    <t>High Sugar</t>
  </si>
  <si>
    <t>Low Sugar</t>
  </si>
  <si>
    <t>Grand Total</t>
  </si>
  <si>
    <t>Average of rating</t>
  </si>
  <si>
    <t>Average of calories</t>
  </si>
  <si>
    <t>Fiber Level</t>
  </si>
  <si>
    <t>High Fiber</t>
  </si>
  <si>
    <t>Low Fiber</t>
  </si>
  <si>
    <t>Sugar &amp; Rating</t>
  </si>
  <si>
    <t>Sugar &amp; Calories</t>
  </si>
  <si>
    <t>Fiber &amp; Rating</t>
  </si>
  <si>
    <t>Sugar Level &amp; Rating</t>
  </si>
  <si>
    <t>Manufacturer &amp; Rating</t>
  </si>
  <si>
    <t>Calories &amp; Rating</t>
  </si>
  <si>
    <t>CEREAL NUTRITION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</si>
</sst>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6" fillId="2" borderId="0" xfId="6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6" fillId="2" borderId="0" xfId="6" applyAlignment="1">
      <alignment horizontal="left"/>
    </xf>
    <xf numFmtId="0" fontId="16" fillId="0" borderId="0" xfId="0" applyFont="1"/>
    <xf numFmtId="0" fontId="18" fillId="33" borderId="0" xfId="0" applyFont="1" applyFill="1"/>
    <xf numFmtId="0" fontId="18" fillId="33" borderId="0" xfId="0" applyFont="1" applyFill="1" applyAlignment="1">
      <alignment horizontal="center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Sugar Vs 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5"/>
          <c:order val="5"/>
          <c:tx>
            <c:strRef>
              <c:f>cereal!$P$1</c:f>
              <c:strCache>
                <c:ptCount val="1"/>
                <c:pt idx="0">
                  <c:v>rating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cereal!$J$2:$J$77</c:f>
              <c:numCache>
                <c:formatCode>General</c:formatCode>
                <c:ptCount val="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5</c:v>
                </c:pt>
                <c:pt idx="10">
                  <c:v>5</c:v>
                </c:pt>
                <c:pt idx="11">
                  <c:v>7</c:v>
                </c:pt>
                <c:pt idx="12">
                  <c:v>6</c:v>
                </c:pt>
                <c:pt idx="13">
                  <c:v>3</c:v>
                </c:pt>
                <c:pt idx="14">
                  <c:v>3</c:v>
                </c:pt>
                <c:pt idx="15">
                  <c:v>5</c:v>
                </c:pt>
                <c:pt idx="16">
                  <c:v>3</c:v>
                </c:pt>
                <c:pt idx="17">
                  <c:v>5</c:v>
                </c:pt>
                <c:pt idx="18">
                  <c:v>3</c:v>
                </c:pt>
                <c:pt idx="19">
                  <c:v>1</c:v>
                </c:pt>
                <c:pt idx="20">
                  <c:v>3</c:v>
                </c:pt>
                <c:pt idx="21">
                  <c:v>6</c:v>
                </c:pt>
                <c:pt idx="22">
                  <c:v>6</c:v>
                </c:pt>
                <c:pt idx="23">
                  <c:v>3</c:v>
                </c:pt>
                <c:pt idx="24">
                  <c:v>3</c:v>
                </c:pt>
                <c:pt idx="25">
                  <c:v>2</c:v>
                </c:pt>
                <c:pt idx="26">
                  <c:v>4</c:v>
                </c:pt>
                <c:pt idx="27">
                  <c:v>6</c:v>
                </c:pt>
                <c:pt idx="28">
                  <c:v>5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12</c:v>
                </c:pt>
                <c:pt idx="33">
                  <c:v>10</c:v>
                </c:pt>
                <c:pt idx="34">
                  <c:v>7</c:v>
                </c:pt>
                <c:pt idx="35">
                  <c:v>3</c:v>
                </c:pt>
                <c:pt idx="36">
                  <c:v>7</c:v>
                </c:pt>
                <c:pt idx="37">
                  <c:v>7</c:v>
                </c:pt>
                <c:pt idx="38">
                  <c:v>6</c:v>
                </c:pt>
                <c:pt idx="39">
                  <c:v>8</c:v>
                </c:pt>
                <c:pt idx="40">
                  <c:v>12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14</c:v>
                </c:pt>
                <c:pt idx="45">
                  <c:v>11</c:v>
                </c:pt>
                <c:pt idx="46">
                  <c:v>8</c:v>
                </c:pt>
                <c:pt idx="47">
                  <c:v>6</c:v>
                </c:pt>
                <c:pt idx="48">
                  <c:v>9</c:v>
                </c:pt>
                <c:pt idx="49">
                  <c:v>8</c:v>
                </c:pt>
                <c:pt idx="50">
                  <c:v>10</c:v>
                </c:pt>
                <c:pt idx="51">
                  <c:v>12</c:v>
                </c:pt>
                <c:pt idx="52">
                  <c:v>15</c:v>
                </c:pt>
                <c:pt idx="53">
                  <c:v>8</c:v>
                </c:pt>
                <c:pt idx="54">
                  <c:v>11</c:v>
                </c:pt>
                <c:pt idx="55">
                  <c:v>8</c:v>
                </c:pt>
                <c:pt idx="56">
                  <c:v>14</c:v>
                </c:pt>
                <c:pt idx="57">
                  <c:v>13</c:v>
                </c:pt>
                <c:pt idx="58">
                  <c:v>11</c:v>
                </c:pt>
                <c:pt idx="59">
                  <c:v>15</c:v>
                </c:pt>
                <c:pt idx="60">
                  <c:v>10</c:v>
                </c:pt>
                <c:pt idx="61">
                  <c:v>10</c:v>
                </c:pt>
                <c:pt idx="62">
                  <c:v>13</c:v>
                </c:pt>
                <c:pt idx="63">
                  <c:v>9</c:v>
                </c:pt>
                <c:pt idx="64">
                  <c:v>10</c:v>
                </c:pt>
                <c:pt idx="65">
                  <c:v>11</c:v>
                </c:pt>
                <c:pt idx="66">
                  <c:v>14</c:v>
                </c:pt>
                <c:pt idx="67">
                  <c:v>12</c:v>
                </c:pt>
                <c:pt idx="68">
                  <c:v>12</c:v>
                </c:pt>
                <c:pt idx="69">
                  <c:v>12</c:v>
                </c:pt>
                <c:pt idx="70">
                  <c:v>9</c:v>
                </c:pt>
                <c:pt idx="71">
                  <c:v>13</c:v>
                </c:pt>
                <c:pt idx="72">
                  <c:v>13</c:v>
                </c:pt>
                <c:pt idx="73">
                  <c:v>11</c:v>
                </c:pt>
                <c:pt idx="74">
                  <c:v>9</c:v>
                </c:pt>
                <c:pt idx="75">
                  <c:v>12</c:v>
                </c:pt>
              </c:numCache>
            </c:numRef>
          </c:xVal>
          <c:yVal>
            <c:numRef>
              <c:f>cereal!$P$2:$P$77</c:f>
              <c:numCache>
                <c:formatCode>General</c:formatCode>
                <c:ptCount val="76"/>
                <c:pt idx="0">
                  <c:v>93.704911999999993</c:v>
                </c:pt>
                <c:pt idx="1">
                  <c:v>74.472949</c:v>
                </c:pt>
                <c:pt idx="2">
                  <c:v>72.801787000000004</c:v>
                </c:pt>
                <c:pt idx="3">
                  <c:v>68.402973000000003</c:v>
                </c:pt>
                <c:pt idx="4">
                  <c:v>68.235884999999996</c:v>
                </c:pt>
                <c:pt idx="5">
                  <c:v>64.533816000000002</c:v>
                </c:pt>
                <c:pt idx="6">
                  <c:v>63.005645000000001</c:v>
                </c:pt>
                <c:pt idx="7">
                  <c:v>60.756112000000002</c:v>
                </c:pt>
                <c:pt idx="8">
                  <c:v>59.642837</c:v>
                </c:pt>
                <c:pt idx="9">
                  <c:v>59.425505000000001</c:v>
                </c:pt>
                <c:pt idx="10">
                  <c:v>59.363993000000001</c:v>
                </c:pt>
                <c:pt idx="11">
                  <c:v>58.345140999999998</c:v>
                </c:pt>
                <c:pt idx="12">
                  <c:v>55.333142000000002</c:v>
                </c:pt>
                <c:pt idx="13">
                  <c:v>54.850917000000003</c:v>
                </c:pt>
                <c:pt idx="14">
                  <c:v>53.371006999999999</c:v>
                </c:pt>
                <c:pt idx="15">
                  <c:v>53.313813000000003</c:v>
                </c:pt>
                <c:pt idx="16">
                  <c:v>53.131323999999999</c:v>
                </c:pt>
                <c:pt idx="17">
                  <c:v>52.076897000000002</c:v>
                </c:pt>
                <c:pt idx="18">
                  <c:v>51.592193000000002</c:v>
                </c:pt>
                <c:pt idx="19">
                  <c:v>50.764999000000003</c:v>
                </c:pt>
                <c:pt idx="20">
                  <c:v>49.787444999999998</c:v>
                </c:pt>
                <c:pt idx="21">
                  <c:v>49.511873999999999</c:v>
                </c:pt>
                <c:pt idx="22">
                  <c:v>49.120252999999998</c:v>
                </c:pt>
                <c:pt idx="23">
                  <c:v>46.895643999999997</c:v>
                </c:pt>
                <c:pt idx="24">
                  <c:v>46.658844000000002</c:v>
                </c:pt>
                <c:pt idx="25">
                  <c:v>45.863323999999999</c:v>
                </c:pt>
                <c:pt idx="26">
                  <c:v>45.811715999999997</c:v>
                </c:pt>
                <c:pt idx="27">
                  <c:v>45.328074000000001</c:v>
                </c:pt>
                <c:pt idx="28">
                  <c:v>44.330855999999997</c:v>
                </c:pt>
                <c:pt idx="29">
                  <c:v>41.998933000000001</c:v>
                </c:pt>
                <c:pt idx="30">
                  <c:v>41.503540000000001</c:v>
                </c:pt>
                <c:pt idx="31">
                  <c:v>41.445019000000002</c:v>
                </c:pt>
                <c:pt idx="32">
                  <c:v>41.015492000000002</c:v>
                </c:pt>
                <c:pt idx="33">
                  <c:v>40.917046999999997</c:v>
                </c:pt>
                <c:pt idx="34">
                  <c:v>40.692320000000002</c:v>
                </c:pt>
                <c:pt idx="35">
                  <c:v>40.560158999999999</c:v>
                </c:pt>
                <c:pt idx="36">
                  <c:v>40.448771999999998</c:v>
                </c:pt>
                <c:pt idx="37">
                  <c:v>40.400207999999999</c:v>
                </c:pt>
                <c:pt idx="38">
                  <c:v>40.105964999999998</c:v>
                </c:pt>
                <c:pt idx="39">
                  <c:v>39.703400000000002</c:v>
                </c:pt>
                <c:pt idx="40">
                  <c:v>39.259197</c:v>
                </c:pt>
                <c:pt idx="41">
                  <c:v>39.241114000000003</c:v>
                </c:pt>
                <c:pt idx="42">
                  <c:v>39.106174000000003</c:v>
                </c:pt>
                <c:pt idx="43">
                  <c:v>38.839745999999998</c:v>
                </c:pt>
                <c:pt idx="44">
                  <c:v>37.840594000000003</c:v>
                </c:pt>
                <c:pt idx="45">
                  <c:v>37.136862999999998</c:v>
                </c:pt>
                <c:pt idx="46">
                  <c:v>37.038561999999999</c:v>
                </c:pt>
                <c:pt idx="47">
                  <c:v>36.523682999999998</c:v>
                </c:pt>
                <c:pt idx="48">
                  <c:v>36.471511999999997</c:v>
                </c:pt>
                <c:pt idx="49">
                  <c:v>36.187559</c:v>
                </c:pt>
                <c:pt idx="50">
                  <c:v>36.176195999999997</c:v>
                </c:pt>
                <c:pt idx="51">
                  <c:v>35.782791000000003</c:v>
                </c:pt>
                <c:pt idx="52">
                  <c:v>35.252443999999997</c:v>
                </c:pt>
                <c:pt idx="53">
                  <c:v>34.384842999999996</c:v>
                </c:pt>
                <c:pt idx="54">
                  <c:v>34.139764999999997</c:v>
                </c:pt>
                <c:pt idx="55">
                  <c:v>33.983679000000002</c:v>
                </c:pt>
                <c:pt idx="56">
                  <c:v>33.174093999999997</c:v>
                </c:pt>
                <c:pt idx="57">
                  <c:v>32.207582000000002</c:v>
                </c:pt>
                <c:pt idx="58">
                  <c:v>31.435973000000001</c:v>
                </c:pt>
                <c:pt idx="59">
                  <c:v>31.230053999999999</c:v>
                </c:pt>
                <c:pt idx="60">
                  <c:v>31.072216999999998</c:v>
                </c:pt>
                <c:pt idx="61">
                  <c:v>30.450842999999999</c:v>
                </c:pt>
                <c:pt idx="62">
                  <c:v>30.313351000000001</c:v>
                </c:pt>
                <c:pt idx="63">
                  <c:v>29.924285000000001</c:v>
                </c:pt>
                <c:pt idx="64">
                  <c:v>29.509540999999999</c:v>
                </c:pt>
                <c:pt idx="65">
                  <c:v>28.742414</c:v>
                </c:pt>
                <c:pt idx="66">
                  <c:v>28.592784999999999</c:v>
                </c:pt>
                <c:pt idx="67">
                  <c:v>28.025765</c:v>
                </c:pt>
                <c:pt idx="68">
                  <c:v>27.753301</c:v>
                </c:pt>
                <c:pt idx="69">
                  <c:v>26.734514999999998</c:v>
                </c:pt>
                <c:pt idx="70">
                  <c:v>23.804043</c:v>
                </c:pt>
                <c:pt idx="71">
                  <c:v>22.736446000000001</c:v>
                </c:pt>
                <c:pt idx="72">
                  <c:v>22.396512999999999</c:v>
                </c:pt>
                <c:pt idx="73">
                  <c:v>21.871292</c:v>
                </c:pt>
                <c:pt idx="74">
                  <c:v>19.823573</c:v>
                </c:pt>
                <c:pt idx="75">
                  <c:v>18.042850999999999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09BB-400E-BFEB-FCB4C5949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1200080"/>
        <c:axId val="163565667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cereal!$K$1</c15:sqref>
                        </c15:formulaRef>
                      </c:ext>
                    </c:extLst>
                    <c:strCache>
                      <c:ptCount val="1"/>
                      <c:pt idx="0">
                        <c:v>potass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1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 cap="rnd">
                      <a:solidFill>
                        <a:schemeClr val="accent1"/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cereal!$J$2:$J$77</c15:sqref>
                        </c15:formulaRef>
                      </c:ext>
                    </c:extLst>
                    <c:numCache>
                      <c:formatCode>General</c:formatCode>
                      <c:ptCount val="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</c:v>
                      </c:pt>
                      <c:pt idx="9">
                        <c:v>5</c:v>
                      </c:pt>
                      <c:pt idx="10">
                        <c:v>5</c:v>
                      </c:pt>
                      <c:pt idx="11">
                        <c:v>7</c:v>
                      </c:pt>
                      <c:pt idx="12">
                        <c:v>6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5</c:v>
                      </c:pt>
                      <c:pt idx="16">
                        <c:v>3</c:v>
                      </c:pt>
                      <c:pt idx="17">
                        <c:v>5</c:v>
                      </c:pt>
                      <c:pt idx="18">
                        <c:v>3</c:v>
                      </c:pt>
                      <c:pt idx="19">
                        <c:v>1</c:v>
                      </c:pt>
                      <c:pt idx="20">
                        <c:v>3</c:v>
                      </c:pt>
                      <c:pt idx="21">
                        <c:v>6</c:v>
                      </c:pt>
                      <c:pt idx="22">
                        <c:v>6</c:v>
                      </c:pt>
                      <c:pt idx="23">
                        <c:v>3</c:v>
                      </c:pt>
                      <c:pt idx="24">
                        <c:v>3</c:v>
                      </c:pt>
                      <c:pt idx="25">
                        <c:v>2</c:v>
                      </c:pt>
                      <c:pt idx="26">
                        <c:v>4</c:v>
                      </c:pt>
                      <c:pt idx="27">
                        <c:v>6</c:v>
                      </c:pt>
                      <c:pt idx="28">
                        <c:v>5</c:v>
                      </c:pt>
                      <c:pt idx="29">
                        <c:v>2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12</c:v>
                      </c:pt>
                      <c:pt idx="33">
                        <c:v>10</c:v>
                      </c:pt>
                      <c:pt idx="34">
                        <c:v>7</c:v>
                      </c:pt>
                      <c:pt idx="35">
                        <c:v>3</c:v>
                      </c:pt>
                      <c:pt idx="36">
                        <c:v>7</c:v>
                      </c:pt>
                      <c:pt idx="37">
                        <c:v>7</c:v>
                      </c:pt>
                      <c:pt idx="38">
                        <c:v>6</c:v>
                      </c:pt>
                      <c:pt idx="39">
                        <c:v>8</c:v>
                      </c:pt>
                      <c:pt idx="40">
                        <c:v>12</c:v>
                      </c:pt>
                      <c:pt idx="41">
                        <c:v>3</c:v>
                      </c:pt>
                      <c:pt idx="42">
                        <c:v>3</c:v>
                      </c:pt>
                      <c:pt idx="43">
                        <c:v>3</c:v>
                      </c:pt>
                      <c:pt idx="44">
                        <c:v>14</c:v>
                      </c:pt>
                      <c:pt idx="45">
                        <c:v>11</c:v>
                      </c:pt>
                      <c:pt idx="46">
                        <c:v>8</c:v>
                      </c:pt>
                      <c:pt idx="47">
                        <c:v>6</c:v>
                      </c:pt>
                      <c:pt idx="48">
                        <c:v>9</c:v>
                      </c:pt>
                      <c:pt idx="49">
                        <c:v>8</c:v>
                      </c:pt>
                      <c:pt idx="50">
                        <c:v>10</c:v>
                      </c:pt>
                      <c:pt idx="51">
                        <c:v>12</c:v>
                      </c:pt>
                      <c:pt idx="52">
                        <c:v>15</c:v>
                      </c:pt>
                      <c:pt idx="53">
                        <c:v>8</c:v>
                      </c:pt>
                      <c:pt idx="54">
                        <c:v>11</c:v>
                      </c:pt>
                      <c:pt idx="55">
                        <c:v>8</c:v>
                      </c:pt>
                      <c:pt idx="56">
                        <c:v>14</c:v>
                      </c:pt>
                      <c:pt idx="57">
                        <c:v>13</c:v>
                      </c:pt>
                      <c:pt idx="58">
                        <c:v>11</c:v>
                      </c:pt>
                      <c:pt idx="59">
                        <c:v>15</c:v>
                      </c:pt>
                      <c:pt idx="60">
                        <c:v>10</c:v>
                      </c:pt>
                      <c:pt idx="61">
                        <c:v>10</c:v>
                      </c:pt>
                      <c:pt idx="62">
                        <c:v>13</c:v>
                      </c:pt>
                      <c:pt idx="63">
                        <c:v>9</c:v>
                      </c:pt>
                      <c:pt idx="64">
                        <c:v>10</c:v>
                      </c:pt>
                      <c:pt idx="65">
                        <c:v>11</c:v>
                      </c:pt>
                      <c:pt idx="66">
                        <c:v>14</c:v>
                      </c:pt>
                      <c:pt idx="67">
                        <c:v>12</c:v>
                      </c:pt>
                      <c:pt idx="68">
                        <c:v>12</c:v>
                      </c:pt>
                      <c:pt idx="69">
                        <c:v>12</c:v>
                      </c:pt>
                      <c:pt idx="70">
                        <c:v>9</c:v>
                      </c:pt>
                      <c:pt idx="71">
                        <c:v>13</c:v>
                      </c:pt>
                      <c:pt idx="72">
                        <c:v>13</c:v>
                      </c:pt>
                      <c:pt idx="73">
                        <c:v>11</c:v>
                      </c:pt>
                      <c:pt idx="74">
                        <c:v>9</c:v>
                      </c:pt>
                      <c:pt idx="75">
                        <c:v>12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cereal!$K$2:$K$77</c15:sqref>
                        </c15:formulaRef>
                      </c:ext>
                    </c:extLst>
                    <c:numCache>
                      <c:formatCode>General</c:formatCode>
                      <c:ptCount val="76"/>
                      <c:pt idx="0">
                        <c:v>330</c:v>
                      </c:pt>
                      <c:pt idx="1">
                        <c:v>140</c:v>
                      </c:pt>
                      <c:pt idx="2">
                        <c:v>120</c:v>
                      </c:pt>
                      <c:pt idx="3">
                        <c:v>280</c:v>
                      </c:pt>
                      <c:pt idx="4">
                        <c:v>95</c:v>
                      </c:pt>
                      <c:pt idx="5">
                        <c:v>-1</c:v>
                      </c:pt>
                      <c:pt idx="6">
                        <c:v>50</c:v>
                      </c:pt>
                      <c:pt idx="7">
                        <c:v>15</c:v>
                      </c:pt>
                      <c:pt idx="8">
                        <c:v>90</c:v>
                      </c:pt>
                      <c:pt idx="9">
                        <c:v>320</c:v>
                      </c:pt>
                      <c:pt idx="10">
                        <c:v>90</c:v>
                      </c:pt>
                      <c:pt idx="11">
                        <c:v>100</c:v>
                      </c:pt>
                      <c:pt idx="12">
                        <c:v>110</c:v>
                      </c:pt>
                      <c:pt idx="13">
                        <c:v>95</c:v>
                      </c:pt>
                      <c:pt idx="14">
                        <c:v>90</c:v>
                      </c:pt>
                      <c:pt idx="15">
                        <c:v>190</c:v>
                      </c:pt>
                      <c:pt idx="16">
                        <c:v>55</c:v>
                      </c:pt>
                      <c:pt idx="17">
                        <c:v>85</c:v>
                      </c:pt>
                      <c:pt idx="18">
                        <c:v>110</c:v>
                      </c:pt>
                      <c:pt idx="19">
                        <c:v>105</c:v>
                      </c:pt>
                      <c:pt idx="20">
                        <c:v>115</c:v>
                      </c:pt>
                      <c:pt idx="21">
                        <c:v>110</c:v>
                      </c:pt>
                      <c:pt idx="22">
                        <c:v>125</c:v>
                      </c:pt>
                      <c:pt idx="23">
                        <c:v>30</c:v>
                      </c:pt>
                      <c:pt idx="24">
                        <c:v>110</c:v>
                      </c:pt>
                      <c:pt idx="25">
                        <c:v>35</c:v>
                      </c:pt>
                      <c:pt idx="26">
                        <c:v>100</c:v>
                      </c:pt>
                      <c:pt idx="27">
                        <c:v>95</c:v>
                      </c:pt>
                      <c:pt idx="28">
                        <c:v>80</c:v>
                      </c:pt>
                      <c:pt idx="29">
                        <c:v>30</c:v>
                      </c:pt>
                      <c:pt idx="30">
                        <c:v>45</c:v>
                      </c:pt>
                      <c:pt idx="31">
                        <c:v>25</c:v>
                      </c:pt>
                      <c:pt idx="32">
                        <c:v>190</c:v>
                      </c:pt>
                      <c:pt idx="33">
                        <c:v>200</c:v>
                      </c:pt>
                      <c:pt idx="34">
                        <c:v>130</c:v>
                      </c:pt>
                      <c:pt idx="35">
                        <c:v>35</c:v>
                      </c:pt>
                      <c:pt idx="36">
                        <c:v>160</c:v>
                      </c:pt>
                      <c:pt idx="37">
                        <c:v>105</c:v>
                      </c:pt>
                      <c:pt idx="38">
                        <c:v>90</c:v>
                      </c:pt>
                      <c:pt idx="39">
                        <c:v>140</c:v>
                      </c:pt>
                      <c:pt idx="40">
                        <c:v>240</c:v>
                      </c:pt>
                      <c:pt idx="41">
                        <c:v>40</c:v>
                      </c:pt>
                      <c:pt idx="42">
                        <c:v>60</c:v>
                      </c:pt>
                      <c:pt idx="43">
                        <c:v>35</c:v>
                      </c:pt>
                      <c:pt idx="44">
                        <c:v>260</c:v>
                      </c:pt>
                      <c:pt idx="45">
                        <c:v>170</c:v>
                      </c:pt>
                      <c:pt idx="46">
                        <c:v>100</c:v>
                      </c:pt>
                      <c:pt idx="47">
                        <c:v>60</c:v>
                      </c:pt>
                      <c:pt idx="48">
                        <c:v>95</c:v>
                      </c:pt>
                      <c:pt idx="49">
                        <c:v>60</c:v>
                      </c:pt>
                      <c:pt idx="50">
                        <c:v>120</c:v>
                      </c:pt>
                      <c:pt idx="51">
                        <c:v>20</c:v>
                      </c:pt>
                      <c:pt idx="52">
                        <c:v>40</c:v>
                      </c:pt>
                      <c:pt idx="53">
                        <c:v>-1</c:v>
                      </c:pt>
                      <c:pt idx="54">
                        <c:v>170</c:v>
                      </c:pt>
                      <c:pt idx="55">
                        <c:v>135</c:v>
                      </c:pt>
                      <c:pt idx="56">
                        <c:v>30</c:v>
                      </c:pt>
                      <c:pt idx="57">
                        <c:v>30</c:v>
                      </c:pt>
                      <c:pt idx="58">
                        <c:v>25</c:v>
                      </c:pt>
                      <c:pt idx="59">
                        <c:v>40</c:v>
                      </c:pt>
                      <c:pt idx="60">
                        <c:v>90</c:v>
                      </c:pt>
                      <c:pt idx="61">
                        <c:v>120</c:v>
                      </c:pt>
                      <c:pt idx="62">
                        <c:v>160</c:v>
                      </c:pt>
                      <c:pt idx="63">
                        <c:v>40</c:v>
                      </c:pt>
                      <c:pt idx="64">
                        <c:v>70</c:v>
                      </c:pt>
                      <c:pt idx="65">
                        <c:v>35</c:v>
                      </c:pt>
                      <c:pt idx="66">
                        <c:v>230</c:v>
                      </c:pt>
                      <c:pt idx="67">
                        <c:v>25</c:v>
                      </c:pt>
                      <c:pt idx="68">
                        <c:v>25</c:v>
                      </c:pt>
                      <c:pt idx="69">
                        <c:v>55</c:v>
                      </c:pt>
                      <c:pt idx="70">
                        <c:v>45</c:v>
                      </c:pt>
                      <c:pt idx="71">
                        <c:v>55</c:v>
                      </c:pt>
                      <c:pt idx="72">
                        <c:v>65</c:v>
                      </c:pt>
                      <c:pt idx="73">
                        <c:v>45</c:v>
                      </c:pt>
                      <c:pt idx="74">
                        <c:v>45</c:v>
                      </c:pt>
                      <c:pt idx="75">
                        <c:v>35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6-09BB-400E-BFEB-FCB4C594963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cereal!$L$1</c15:sqref>
                        </c15:formulaRef>
                      </c:ext>
                    </c:extLst>
                    <c:strCache>
                      <c:ptCount val="1"/>
                      <c:pt idx="0">
                        <c:v>vitamins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2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 cap="rnd">
                      <a:solidFill>
                        <a:schemeClr val="accent2"/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cereal!$J$2:$J$77</c15:sqref>
                        </c15:formulaRef>
                      </c:ext>
                    </c:extLst>
                    <c:numCache>
                      <c:formatCode>General</c:formatCode>
                      <c:ptCount val="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</c:v>
                      </c:pt>
                      <c:pt idx="9">
                        <c:v>5</c:v>
                      </c:pt>
                      <c:pt idx="10">
                        <c:v>5</c:v>
                      </c:pt>
                      <c:pt idx="11">
                        <c:v>7</c:v>
                      </c:pt>
                      <c:pt idx="12">
                        <c:v>6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5</c:v>
                      </c:pt>
                      <c:pt idx="16">
                        <c:v>3</c:v>
                      </c:pt>
                      <c:pt idx="17">
                        <c:v>5</c:v>
                      </c:pt>
                      <c:pt idx="18">
                        <c:v>3</c:v>
                      </c:pt>
                      <c:pt idx="19">
                        <c:v>1</c:v>
                      </c:pt>
                      <c:pt idx="20">
                        <c:v>3</c:v>
                      </c:pt>
                      <c:pt idx="21">
                        <c:v>6</c:v>
                      </c:pt>
                      <c:pt idx="22">
                        <c:v>6</c:v>
                      </c:pt>
                      <c:pt idx="23">
                        <c:v>3</c:v>
                      </c:pt>
                      <c:pt idx="24">
                        <c:v>3</c:v>
                      </c:pt>
                      <c:pt idx="25">
                        <c:v>2</c:v>
                      </c:pt>
                      <c:pt idx="26">
                        <c:v>4</c:v>
                      </c:pt>
                      <c:pt idx="27">
                        <c:v>6</c:v>
                      </c:pt>
                      <c:pt idx="28">
                        <c:v>5</c:v>
                      </c:pt>
                      <c:pt idx="29">
                        <c:v>2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12</c:v>
                      </c:pt>
                      <c:pt idx="33">
                        <c:v>10</c:v>
                      </c:pt>
                      <c:pt idx="34">
                        <c:v>7</c:v>
                      </c:pt>
                      <c:pt idx="35">
                        <c:v>3</c:v>
                      </c:pt>
                      <c:pt idx="36">
                        <c:v>7</c:v>
                      </c:pt>
                      <c:pt idx="37">
                        <c:v>7</c:v>
                      </c:pt>
                      <c:pt idx="38">
                        <c:v>6</c:v>
                      </c:pt>
                      <c:pt idx="39">
                        <c:v>8</c:v>
                      </c:pt>
                      <c:pt idx="40">
                        <c:v>12</c:v>
                      </c:pt>
                      <c:pt idx="41">
                        <c:v>3</c:v>
                      </c:pt>
                      <c:pt idx="42">
                        <c:v>3</c:v>
                      </c:pt>
                      <c:pt idx="43">
                        <c:v>3</c:v>
                      </c:pt>
                      <c:pt idx="44">
                        <c:v>14</c:v>
                      </c:pt>
                      <c:pt idx="45">
                        <c:v>11</c:v>
                      </c:pt>
                      <c:pt idx="46">
                        <c:v>8</c:v>
                      </c:pt>
                      <c:pt idx="47">
                        <c:v>6</c:v>
                      </c:pt>
                      <c:pt idx="48">
                        <c:v>9</c:v>
                      </c:pt>
                      <c:pt idx="49">
                        <c:v>8</c:v>
                      </c:pt>
                      <c:pt idx="50">
                        <c:v>10</c:v>
                      </c:pt>
                      <c:pt idx="51">
                        <c:v>12</c:v>
                      </c:pt>
                      <c:pt idx="52">
                        <c:v>15</c:v>
                      </c:pt>
                      <c:pt idx="53">
                        <c:v>8</c:v>
                      </c:pt>
                      <c:pt idx="54">
                        <c:v>11</c:v>
                      </c:pt>
                      <c:pt idx="55">
                        <c:v>8</c:v>
                      </c:pt>
                      <c:pt idx="56">
                        <c:v>14</c:v>
                      </c:pt>
                      <c:pt idx="57">
                        <c:v>13</c:v>
                      </c:pt>
                      <c:pt idx="58">
                        <c:v>11</c:v>
                      </c:pt>
                      <c:pt idx="59">
                        <c:v>15</c:v>
                      </c:pt>
                      <c:pt idx="60">
                        <c:v>10</c:v>
                      </c:pt>
                      <c:pt idx="61">
                        <c:v>10</c:v>
                      </c:pt>
                      <c:pt idx="62">
                        <c:v>13</c:v>
                      </c:pt>
                      <c:pt idx="63">
                        <c:v>9</c:v>
                      </c:pt>
                      <c:pt idx="64">
                        <c:v>10</c:v>
                      </c:pt>
                      <c:pt idx="65">
                        <c:v>11</c:v>
                      </c:pt>
                      <c:pt idx="66">
                        <c:v>14</c:v>
                      </c:pt>
                      <c:pt idx="67">
                        <c:v>12</c:v>
                      </c:pt>
                      <c:pt idx="68">
                        <c:v>12</c:v>
                      </c:pt>
                      <c:pt idx="69">
                        <c:v>12</c:v>
                      </c:pt>
                      <c:pt idx="70">
                        <c:v>9</c:v>
                      </c:pt>
                      <c:pt idx="71">
                        <c:v>13</c:v>
                      </c:pt>
                      <c:pt idx="72">
                        <c:v>13</c:v>
                      </c:pt>
                      <c:pt idx="73">
                        <c:v>11</c:v>
                      </c:pt>
                      <c:pt idx="74">
                        <c:v>9</c:v>
                      </c:pt>
                      <c:pt idx="75">
                        <c:v>12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cereal!$L$2:$L$77</c15:sqref>
                        </c15:formulaRef>
                      </c:ext>
                    </c:extLst>
                    <c:numCache>
                      <c:formatCode>General</c:formatCode>
                      <c:ptCount val="76"/>
                      <c:pt idx="0">
                        <c:v>25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25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25</c:v>
                      </c:pt>
                      <c:pt idx="9">
                        <c:v>25</c:v>
                      </c:pt>
                      <c:pt idx="10">
                        <c:v>25</c:v>
                      </c:pt>
                      <c:pt idx="11">
                        <c:v>25</c:v>
                      </c:pt>
                      <c:pt idx="12">
                        <c:v>25</c:v>
                      </c:pt>
                      <c:pt idx="13">
                        <c:v>25</c:v>
                      </c:pt>
                      <c:pt idx="14">
                        <c:v>25</c:v>
                      </c:pt>
                      <c:pt idx="15">
                        <c:v>25</c:v>
                      </c:pt>
                      <c:pt idx="16">
                        <c:v>25</c:v>
                      </c:pt>
                      <c:pt idx="17">
                        <c:v>25</c:v>
                      </c:pt>
                      <c:pt idx="18">
                        <c:v>25</c:v>
                      </c:pt>
                      <c:pt idx="19">
                        <c:v>25</c:v>
                      </c:pt>
                      <c:pt idx="20">
                        <c:v>25</c:v>
                      </c:pt>
                      <c:pt idx="21">
                        <c:v>25</c:v>
                      </c:pt>
                      <c:pt idx="22">
                        <c:v>25</c:v>
                      </c:pt>
                      <c:pt idx="23">
                        <c:v>25</c:v>
                      </c:pt>
                      <c:pt idx="24">
                        <c:v>100</c:v>
                      </c:pt>
                      <c:pt idx="25">
                        <c:v>25</c:v>
                      </c:pt>
                      <c:pt idx="26">
                        <c:v>25</c:v>
                      </c:pt>
                      <c:pt idx="27">
                        <c:v>25</c:v>
                      </c:pt>
                      <c:pt idx="28">
                        <c:v>25</c:v>
                      </c:pt>
                      <c:pt idx="29">
                        <c:v>25</c:v>
                      </c:pt>
                      <c:pt idx="30">
                        <c:v>100</c:v>
                      </c:pt>
                      <c:pt idx="31">
                        <c:v>25</c:v>
                      </c:pt>
                      <c:pt idx="32">
                        <c:v>25</c:v>
                      </c:pt>
                      <c:pt idx="33">
                        <c:v>25</c:v>
                      </c:pt>
                      <c:pt idx="34">
                        <c:v>25</c:v>
                      </c:pt>
                      <c:pt idx="35">
                        <c:v>25</c:v>
                      </c:pt>
                      <c:pt idx="36">
                        <c:v>25</c:v>
                      </c:pt>
                      <c:pt idx="37">
                        <c:v>25</c:v>
                      </c:pt>
                      <c:pt idx="38">
                        <c:v>25</c:v>
                      </c:pt>
                      <c:pt idx="39">
                        <c:v>25</c:v>
                      </c:pt>
                      <c:pt idx="40">
                        <c:v>25</c:v>
                      </c:pt>
                      <c:pt idx="41">
                        <c:v>25</c:v>
                      </c:pt>
                      <c:pt idx="42">
                        <c:v>25</c:v>
                      </c:pt>
                      <c:pt idx="43">
                        <c:v>100</c:v>
                      </c:pt>
                      <c:pt idx="44">
                        <c:v>25</c:v>
                      </c:pt>
                      <c:pt idx="45">
                        <c:v>25</c:v>
                      </c:pt>
                      <c:pt idx="46">
                        <c:v>25</c:v>
                      </c:pt>
                      <c:pt idx="47">
                        <c:v>100</c:v>
                      </c:pt>
                      <c:pt idx="48">
                        <c:v>100</c:v>
                      </c:pt>
                      <c:pt idx="49">
                        <c:v>25</c:v>
                      </c:pt>
                      <c:pt idx="50">
                        <c:v>25</c:v>
                      </c:pt>
                      <c:pt idx="51">
                        <c:v>25</c:v>
                      </c:pt>
                      <c:pt idx="52">
                        <c:v>25</c:v>
                      </c:pt>
                      <c:pt idx="53">
                        <c:v>25</c:v>
                      </c:pt>
                      <c:pt idx="54">
                        <c:v>25</c:v>
                      </c:pt>
                      <c:pt idx="55">
                        <c:v>0</c:v>
                      </c:pt>
                      <c:pt idx="56">
                        <c:v>25</c:v>
                      </c:pt>
                      <c:pt idx="57">
                        <c:v>25</c:v>
                      </c:pt>
                      <c:pt idx="58">
                        <c:v>25</c:v>
                      </c:pt>
                      <c:pt idx="59">
                        <c:v>25</c:v>
                      </c:pt>
                      <c:pt idx="60">
                        <c:v>25</c:v>
                      </c:pt>
                      <c:pt idx="61">
                        <c:v>25</c:v>
                      </c:pt>
                      <c:pt idx="62">
                        <c:v>25</c:v>
                      </c:pt>
                      <c:pt idx="63">
                        <c:v>25</c:v>
                      </c:pt>
                      <c:pt idx="64">
                        <c:v>25</c:v>
                      </c:pt>
                      <c:pt idx="65">
                        <c:v>25</c:v>
                      </c:pt>
                      <c:pt idx="66">
                        <c:v>100</c:v>
                      </c:pt>
                      <c:pt idx="67">
                        <c:v>25</c:v>
                      </c:pt>
                      <c:pt idx="68">
                        <c:v>25</c:v>
                      </c:pt>
                      <c:pt idx="69">
                        <c:v>25</c:v>
                      </c:pt>
                      <c:pt idx="70">
                        <c:v>25</c:v>
                      </c:pt>
                      <c:pt idx="71">
                        <c:v>25</c:v>
                      </c:pt>
                      <c:pt idx="72">
                        <c:v>25</c:v>
                      </c:pt>
                      <c:pt idx="73">
                        <c:v>25</c:v>
                      </c:pt>
                      <c:pt idx="74">
                        <c:v>25</c:v>
                      </c:pt>
                      <c:pt idx="75">
                        <c:v>25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9BB-400E-BFEB-FCB4C5949638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cereal!$M$1</c15:sqref>
                        </c15:formulaRef>
                      </c:ext>
                    </c:extLst>
                    <c:strCache>
                      <c:ptCount val="1"/>
                      <c:pt idx="0">
                        <c:v>shelf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 cap="rnd">
                      <a:solidFill>
                        <a:schemeClr val="accent3"/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cereal!$J$2:$J$77</c15:sqref>
                        </c15:formulaRef>
                      </c:ext>
                    </c:extLst>
                    <c:numCache>
                      <c:formatCode>General</c:formatCode>
                      <c:ptCount val="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</c:v>
                      </c:pt>
                      <c:pt idx="9">
                        <c:v>5</c:v>
                      </c:pt>
                      <c:pt idx="10">
                        <c:v>5</c:v>
                      </c:pt>
                      <c:pt idx="11">
                        <c:v>7</c:v>
                      </c:pt>
                      <c:pt idx="12">
                        <c:v>6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5</c:v>
                      </c:pt>
                      <c:pt idx="16">
                        <c:v>3</c:v>
                      </c:pt>
                      <c:pt idx="17">
                        <c:v>5</c:v>
                      </c:pt>
                      <c:pt idx="18">
                        <c:v>3</c:v>
                      </c:pt>
                      <c:pt idx="19">
                        <c:v>1</c:v>
                      </c:pt>
                      <c:pt idx="20">
                        <c:v>3</c:v>
                      </c:pt>
                      <c:pt idx="21">
                        <c:v>6</c:v>
                      </c:pt>
                      <c:pt idx="22">
                        <c:v>6</c:v>
                      </c:pt>
                      <c:pt idx="23">
                        <c:v>3</c:v>
                      </c:pt>
                      <c:pt idx="24">
                        <c:v>3</c:v>
                      </c:pt>
                      <c:pt idx="25">
                        <c:v>2</c:v>
                      </c:pt>
                      <c:pt idx="26">
                        <c:v>4</c:v>
                      </c:pt>
                      <c:pt idx="27">
                        <c:v>6</c:v>
                      </c:pt>
                      <c:pt idx="28">
                        <c:v>5</c:v>
                      </c:pt>
                      <c:pt idx="29">
                        <c:v>2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12</c:v>
                      </c:pt>
                      <c:pt idx="33">
                        <c:v>10</c:v>
                      </c:pt>
                      <c:pt idx="34">
                        <c:v>7</c:v>
                      </c:pt>
                      <c:pt idx="35">
                        <c:v>3</c:v>
                      </c:pt>
                      <c:pt idx="36">
                        <c:v>7</c:v>
                      </c:pt>
                      <c:pt idx="37">
                        <c:v>7</c:v>
                      </c:pt>
                      <c:pt idx="38">
                        <c:v>6</c:v>
                      </c:pt>
                      <c:pt idx="39">
                        <c:v>8</c:v>
                      </c:pt>
                      <c:pt idx="40">
                        <c:v>12</c:v>
                      </c:pt>
                      <c:pt idx="41">
                        <c:v>3</c:v>
                      </c:pt>
                      <c:pt idx="42">
                        <c:v>3</c:v>
                      </c:pt>
                      <c:pt idx="43">
                        <c:v>3</c:v>
                      </c:pt>
                      <c:pt idx="44">
                        <c:v>14</c:v>
                      </c:pt>
                      <c:pt idx="45">
                        <c:v>11</c:v>
                      </c:pt>
                      <c:pt idx="46">
                        <c:v>8</c:v>
                      </c:pt>
                      <c:pt idx="47">
                        <c:v>6</c:v>
                      </c:pt>
                      <c:pt idx="48">
                        <c:v>9</c:v>
                      </c:pt>
                      <c:pt idx="49">
                        <c:v>8</c:v>
                      </c:pt>
                      <c:pt idx="50">
                        <c:v>10</c:v>
                      </c:pt>
                      <c:pt idx="51">
                        <c:v>12</c:v>
                      </c:pt>
                      <c:pt idx="52">
                        <c:v>15</c:v>
                      </c:pt>
                      <c:pt idx="53">
                        <c:v>8</c:v>
                      </c:pt>
                      <c:pt idx="54">
                        <c:v>11</c:v>
                      </c:pt>
                      <c:pt idx="55">
                        <c:v>8</c:v>
                      </c:pt>
                      <c:pt idx="56">
                        <c:v>14</c:v>
                      </c:pt>
                      <c:pt idx="57">
                        <c:v>13</c:v>
                      </c:pt>
                      <c:pt idx="58">
                        <c:v>11</c:v>
                      </c:pt>
                      <c:pt idx="59">
                        <c:v>15</c:v>
                      </c:pt>
                      <c:pt idx="60">
                        <c:v>10</c:v>
                      </c:pt>
                      <c:pt idx="61">
                        <c:v>10</c:v>
                      </c:pt>
                      <c:pt idx="62">
                        <c:v>13</c:v>
                      </c:pt>
                      <c:pt idx="63">
                        <c:v>9</c:v>
                      </c:pt>
                      <c:pt idx="64">
                        <c:v>10</c:v>
                      </c:pt>
                      <c:pt idx="65">
                        <c:v>11</c:v>
                      </c:pt>
                      <c:pt idx="66">
                        <c:v>14</c:v>
                      </c:pt>
                      <c:pt idx="67">
                        <c:v>12</c:v>
                      </c:pt>
                      <c:pt idx="68">
                        <c:v>12</c:v>
                      </c:pt>
                      <c:pt idx="69">
                        <c:v>12</c:v>
                      </c:pt>
                      <c:pt idx="70">
                        <c:v>9</c:v>
                      </c:pt>
                      <c:pt idx="71">
                        <c:v>13</c:v>
                      </c:pt>
                      <c:pt idx="72">
                        <c:v>13</c:v>
                      </c:pt>
                      <c:pt idx="73">
                        <c:v>11</c:v>
                      </c:pt>
                      <c:pt idx="74">
                        <c:v>9</c:v>
                      </c:pt>
                      <c:pt idx="75">
                        <c:v>12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cereal!$M$2:$M$77</c15:sqref>
                        </c15:formulaRef>
                      </c:ext>
                    </c:extLst>
                    <c:numCache>
                      <c:formatCode>General</c:formatCode>
                      <c:ptCount val="76"/>
                      <c:pt idx="0">
                        <c:v>3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3</c:v>
                      </c:pt>
                      <c:pt idx="4">
                        <c:v>1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3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1</c:v>
                      </c:pt>
                      <c:pt idx="17">
                        <c:v>3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3</c:v>
                      </c:pt>
                      <c:pt idx="22">
                        <c:v>1</c:v>
                      </c:pt>
                      <c:pt idx="23">
                        <c:v>3</c:v>
                      </c:pt>
                      <c:pt idx="24">
                        <c:v>3</c:v>
                      </c:pt>
                      <c:pt idx="25">
                        <c:v>1</c:v>
                      </c:pt>
                      <c:pt idx="26">
                        <c:v>3</c:v>
                      </c:pt>
                      <c:pt idx="27">
                        <c:v>2</c:v>
                      </c:pt>
                      <c:pt idx="28">
                        <c:v>3</c:v>
                      </c:pt>
                      <c:pt idx="29">
                        <c:v>1</c:v>
                      </c:pt>
                      <c:pt idx="30">
                        <c:v>3</c:v>
                      </c:pt>
                      <c:pt idx="31">
                        <c:v>1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1</c:v>
                      </c:pt>
                      <c:pt idx="36">
                        <c:v>3</c:v>
                      </c:pt>
                      <c:pt idx="37">
                        <c:v>3</c:v>
                      </c:pt>
                      <c:pt idx="38">
                        <c:v>1</c:v>
                      </c:pt>
                      <c:pt idx="39">
                        <c:v>3</c:v>
                      </c:pt>
                      <c:pt idx="40">
                        <c:v>2</c:v>
                      </c:pt>
                      <c:pt idx="41">
                        <c:v>2</c:v>
                      </c:pt>
                      <c:pt idx="42">
                        <c:v>3</c:v>
                      </c:pt>
                      <c:pt idx="43">
                        <c:v>3</c:v>
                      </c:pt>
                      <c:pt idx="44">
                        <c:v>3</c:v>
                      </c:pt>
                      <c:pt idx="45">
                        <c:v>3</c:v>
                      </c:pt>
                      <c:pt idx="46">
                        <c:v>3</c:v>
                      </c:pt>
                      <c:pt idx="47">
                        <c:v>3</c:v>
                      </c:pt>
                      <c:pt idx="48">
                        <c:v>3</c:v>
                      </c:pt>
                      <c:pt idx="49">
                        <c:v>1</c:v>
                      </c:pt>
                      <c:pt idx="50">
                        <c:v>3</c:v>
                      </c:pt>
                      <c:pt idx="51">
                        <c:v>2</c:v>
                      </c:pt>
                      <c:pt idx="52">
                        <c:v>1</c:v>
                      </c:pt>
                      <c:pt idx="53">
                        <c:v>3</c:v>
                      </c:pt>
                      <c:pt idx="54">
                        <c:v>3</c:v>
                      </c:pt>
                      <c:pt idx="55">
                        <c:v>3</c:v>
                      </c:pt>
                      <c:pt idx="56">
                        <c:v>2</c:v>
                      </c:pt>
                      <c:pt idx="57">
                        <c:v>2</c:v>
                      </c:pt>
                      <c:pt idx="58">
                        <c:v>1</c:v>
                      </c:pt>
                      <c:pt idx="59">
                        <c:v>2</c:v>
                      </c:pt>
                      <c:pt idx="60">
                        <c:v>1</c:v>
                      </c:pt>
                      <c:pt idx="61">
                        <c:v>3</c:v>
                      </c:pt>
                      <c:pt idx="62">
                        <c:v>3</c:v>
                      </c:pt>
                      <c:pt idx="63">
                        <c:v>2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3</c:v>
                      </c:pt>
                      <c:pt idx="67">
                        <c:v>2</c:v>
                      </c:pt>
                      <c:pt idx="68">
                        <c:v>2</c:v>
                      </c:pt>
                      <c:pt idx="69">
                        <c:v>2</c:v>
                      </c:pt>
                      <c:pt idx="70">
                        <c:v>2</c:v>
                      </c:pt>
                      <c:pt idx="71">
                        <c:v>2</c:v>
                      </c:pt>
                      <c:pt idx="72">
                        <c:v>2</c:v>
                      </c:pt>
                      <c:pt idx="73">
                        <c:v>2</c:v>
                      </c:pt>
                      <c:pt idx="74">
                        <c:v>2</c:v>
                      </c:pt>
                      <c:pt idx="75">
                        <c:v>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09BB-400E-BFEB-FCB4C594963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cereal!$N$1</c15:sqref>
                        </c15:formulaRef>
                      </c:ext>
                    </c:extLst>
                    <c:strCache>
                      <c:ptCount val="1"/>
                      <c:pt idx="0">
                        <c:v>weight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4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 cap="rnd">
                      <a:solidFill>
                        <a:schemeClr val="accent4"/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cereal!$J$2:$J$77</c15:sqref>
                        </c15:formulaRef>
                      </c:ext>
                    </c:extLst>
                    <c:numCache>
                      <c:formatCode>General</c:formatCode>
                      <c:ptCount val="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</c:v>
                      </c:pt>
                      <c:pt idx="9">
                        <c:v>5</c:v>
                      </c:pt>
                      <c:pt idx="10">
                        <c:v>5</c:v>
                      </c:pt>
                      <c:pt idx="11">
                        <c:v>7</c:v>
                      </c:pt>
                      <c:pt idx="12">
                        <c:v>6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5</c:v>
                      </c:pt>
                      <c:pt idx="16">
                        <c:v>3</c:v>
                      </c:pt>
                      <c:pt idx="17">
                        <c:v>5</c:v>
                      </c:pt>
                      <c:pt idx="18">
                        <c:v>3</c:v>
                      </c:pt>
                      <c:pt idx="19">
                        <c:v>1</c:v>
                      </c:pt>
                      <c:pt idx="20">
                        <c:v>3</c:v>
                      </c:pt>
                      <c:pt idx="21">
                        <c:v>6</c:v>
                      </c:pt>
                      <c:pt idx="22">
                        <c:v>6</c:v>
                      </c:pt>
                      <c:pt idx="23">
                        <c:v>3</c:v>
                      </c:pt>
                      <c:pt idx="24">
                        <c:v>3</c:v>
                      </c:pt>
                      <c:pt idx="25">
                        <c:v>2</c:v>
                      </c:pt>
                      <c:pt idx="26">
                        <c:v>4</c:v>
                      </c:pt>
                      <c:pt idx="27">
                        <c:v>6</c:v>
                      </c:pt>
                      <c:pt idx="28">
                        <c:v>5</c:v>
                      </c:pt>
                      <c:pt idx="29">
                        <c:v>2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12</c:v>
                      </c:pt>
                      <c:pt idx="33">
                        <c:v>10</c:v>
                      </c:pt>
                      <c:pt idx="34">
                        <c:v>7</c:v>
                      </c:pt>
                      <c:pt idx="35">
                        <c:v>3</c:v>
                      </c:pt>
                      <c:pt idx="36">
                        <c:v>7</c:v>
                      </c:pt>
                      <c:pt idx="37">
                        <c:v>7</c:v>
                      </c:pt>
                      <c:pt idx="38">
                        <c:v>6</c:v>
                      </c:pt>
                      <c:pt idx="39">
                        <c:v>8</c:v>
                      </c:pt>
                      <c:pt idx="40">
                        <c:v>12</c:v>
                      </c:pt>
                      <c:pt idx="41">
                        <c:v>3</c:v>
                      </c:pt>
                      <c:pt idx="42">
                        <c:v>3</c:v>
                      </c:pt>
                      <c:pt idx="43">
                        <c:v>3</c:v>
                      </c:pt>
                      <c:pt idx="44">
                        <c:v>14</c:v>
                      </c:pt>
                      <c:pt idx="45">
                        <c:v>11</c:v>
                      </c:pt>
                      <c:pt idx="46">
                        <c:v>8</c:v>
                      </c:pt>
                      <c:pt idx="47">
                        <c:v>6</c:v>
                      </c:pt>
                      <c:pt idx="48">
                        <c:v>9</c:v>
                      </c:pt>
                      <c:pt idx="49">
                        <c:v>8</c:v>
                      </c:pt>
                      <c:pt idx="50">
                        <c:v>10</c:v>
                      </c:pt>
                      <c:pt idx="51">
                        <c:v>12</c:v>
                      </c:pt>
                      <c:pt idx="52">
                        <c:v>15</c:v>
                      </c:pt>
                      <c:pt idx="53">
                        <c:v>8</c:v>
                      </c:pt>
                      <c:pt idx="54">
                        <c:v>11</c:v>
                      </c:pt>
                      <c:pt idx="55">
                        <c:v>8</c:v>
                      </c:pt>
                      <c:pt idx="56">
                        <c:v>14</c:v>
                      </c:pt>
                      <c:pt idx="57">
                        <c:v>13</c:v>
                      </c:pt>
                      <c:pt idx="58">
                        <c:v>11</c:v>
                      </c:pt>
                      <c:pt idx="59">
                        <c:v>15</c:v>
                      </c:pt>
                      <c:pt idx="60">
                        <c:v>10</c:v>
                      </c:pt>
                      <c:pt idx="61">
                        <c:v>10</c:v>
                      </c:pt>
                      <c:pt idx="62">
                        <c:v>13</c:v>
                      </c:pt>
                      <c:pt idx="63">
                        <c:v>9</c:v>
                      </c:pt>
                      <c:pt idx="64">
                        <c:v>10</c:v>
                      </c:pt>
                      <c:pt idx="65">
                        <c:v>11</c:v>
                      </c:pt>
                      <c:pt idx="66">
                        <c:v>14</c:v>
                      </c:pt>
                      <c:pt idx="67">
                        <c:v>12</c:v>
                      </c:pt>
                      <c:pt idx="68">
                        <c:v>12</c:v>
                      </c:pt>
                      <c:pt idx="69">
                        <c:v>12</c:v>
                      </c:pt>
                      <c:pt idx="70">
                        <c:v>9</c:v>
                      </c:pt>
                      <c:pt idx="71">
                        <c:v>13</c:v>
                      </c:pt>
                      <c:pt idx="72">
                        <c:v>13</c:v>
                      </c:pt>
                      <c:pt idx="73">
                        <c:v>11</c:v>
                      </c:pt>
                      <c:pt idx="74">
                        <c:v>9</c:v>
                      </c:pt>
                      <c:pt idx="75">
                        <c:v>12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cereal!$N$2:$N$77</c15:sqref>
                        </c15:formulaRef>
                      </c:ext>
                    </c:extLst>
                    <c:numCache>
                      <c:formatCode>General</c:formatCode>
                      <c:ptCount val="76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0.83</c:v>
                      </c:pt>
                      <c:pt idx="5">
                        <c:v>1</c:v>
                      </c:pt>
                      <c:pt idx="6">
                        <c:v>0.5</c:v>
                      </c:pt>
                      <c:pt idx="7">
                        <c:v>0.5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1.33</c:v>
                      </c:pt>
                      <c:pt idx="33">
                        <c:v>1.25</c:v>
                      </c:pt>
                      <c:pt idx="34">
                        <c:v>1.33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1.33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1.33</c:v>
                      </c:pt>
                      <c:pt idx="45">
                        <c:v>1</c:v>
                      </c:pt>
                      <c:pt idx="46">
                        <c:v>1.33</c:v>
                      </c:pt>
                      <c:pt idx="47">
                        <c:v>1</c:v>
                      </c:pt>
                      <c:pt idx="48">
                        <c:v>1.3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1.25</c:v>
                      </c:pt>
                      <c:pt idx="62">
                        <c:v>1.5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1.5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09BB-400E-BFEB-FCB4C594963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cereal!$O$1</c15:sqref>
                        </c15:formulaRef>
                      </c:ext>
                    </c:extLst>
                    <c:strCache>
                      <c:ptCount val="1"/>
                      <c:pt idx="0">
                        <c:v>cups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5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 cap="rnd">
                      <a:solidFill>
                        <a:schemeClr val="accent5"/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cereal!$J$2:$J$77</c15:sqref>
                        </c15:formulaRef>
                      </c:ext>
                    </c:extLst>
                    <c:numCache>
                      <c:formatCode>General</c:formatCode>
                      <c:ptCount val="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</c:v>
                      </c:pt>
                      <c:pt idx="9">
                        <c:v>5</c:v>
                      </c:pt>
                      <c:pt idx="10">
                        <c:v>5</c:v>
                      </c:pt>
                      <c:pt idx="11">
                        <c:v>7</c:v>
                      </c:pt>
                      <c:pt idx="12">
                        <c:v>6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5</c:v>
                      </c:pt>
                      <c:pt idx="16">
                        <c:v>3</c:v>
                      </c:pt>
                      <c:pt idx="17">
                        <c:v>5</c:v>
                      </c:pt>
                      <c:pt idx="18">
                        <c:v>3</c:v>
                      </c:pt>
                      <c:pt idx="19">
                        <c:v>1</c:v>
                      </c:pt>
                      <c:pt idx="20">
                        <c:v>3</c:v>
                      </c:pt>
                      <c:pt idx="21">
                        <c:v>6</c:v>
                      </c:pt>
                      <c:pt idx="22">
                        <c:v>6</c:v>
                      </c:pt>
                      <c:pt idx="23">
                        <c:v>3</c:v>
                      </c:pt>
                      <c:pt idx="24">
                        <c:v>3</c:v>
                      </c:pt>
                      <c:pt idx="25">
                        <c:v>2</c:v>
                      </c:pt>
                      <c:pt idx="26">
                        <c:v>4</c:v>
                      </c:pt>
                      <c:pt idx="27">
                        <c:v>6</c:v>
                      </c:pt>
                      <c:pt idx="28">
                        <c:v>5</c:v>
                      </c:pt>
                      <c:pt idx="29">
                        <c:v>2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12</c:v>
                      </c:pt>
                      <c:pt idx="33">
                        <c:v>10</c:v>
                      </c:pt>
                      <c:pt idx="34">
                        <c:v>7</c:v>
                      </c:pt>
                      <c:pt idx="35">
                        <c:v>3</c:v>
                      </c:pt>
                      <c:pt idx="36">
                        <c:v>7</c:v>
                      </c:pt>
                      <c:pt idx="37">
                        <c:v>7</c:v>
                      </c:pt>
                      <c:pt idx="38">
                        <c:v>6</c:v>
                      </c:pt>
                      <c:pt idx="39">
                        <c:v>8</c:v>
                      </c:pt>
                      <c:pt idx="40">
                        <c:v>12</c:v>
                      </c:pt>
                      <c:pt idx="41">
                        <c:v>3</c:v>
                      </c:pt>
                      <c:pt idx="42">
                        <c:v>3</c:v>
                      </c:pt>
                      <c:pt idx="43">
                        <c:v>3</c:v>
                      </c:pt>
                      <c:pt idx="44">
                        <c:v>14</c:v>
                      </c:pt>
                      <c:pt idx="45">
                        <c:v>11</c:v>
                      </c:pt>
                      <c:pt idx="46">
                        <c:v>8</c:v>
                      </c:pt>
                      <c:pt idx="47">
                        <c:v>6</c:v>
                      </c:pt>
                      <c:pt idx="48">
                        <c:v>9</c:v>
                      </c:pt>
                      <c:pt idx="49">
                        <c:v>8</c:v>
                      </c:pt>
                      <c:pt idx="50">
                        <c:v>10</c:v>
                      </c:pt>
                      <c:pt idx="51">
                        <c:v>12</c:v>
                      </c:pt>
                      <c:pt idx="52">
                        <c:v>15</c:v>
                      </c:pt>
                      <c:pt idx="53">
                        <c:v>8</c:v>
                      </c:pt>
                      <c:pt idx="54">
                        <c:v>11</c:v>
                      </c:pt>
                      <c:pt idx="55">
                        <c:v>8</c:v>
                      </c:pt>
                      <c:pt idx="56">
                        <c:v>14</c:v>
                      </c:pt>
                      <c:pt idx="57">
                        <c:v>13</c:v>
                      </c:pt>
                      <c:pt idx="58">
                        <c:v>11</c:v>
                      </c:pt>
                      <c:pt idx="59">
                        <c:v>15</c:v>
                      </c:pt>
                      <c:pt idx="60">
                        <c:v>10</c:v>
                      </c:pt>
                      <c:pt idx="61">
                        <c:v>10</c:v>
                      </c:pt>
                      <c:pt idx="62">
                        <c:v>13</c:v>
                      </c:pt>
                      <c:pt idx="63">
                        <c:v>9</c:v>
                      </c:pt>
                      <c:pt idx="64">
                        <c:v>10</c:v>
                      </c:pt>
                      <c:pt idx="65">
                        <c:v>11</c:v>
                      </c:pt>
                      <c:pt idx="66">
                        <c:v>14</c:v>
                      </c:pt>
                      <c:pt idx="67">
                        <c:v>12</c:v>
                      </c:pt>
                      <c:pt idx="68">
                        <c:v>12</c:v>
                      </c:pt>
                      <c:pt idx="69">
                        <c:v>12</c:v>
                      </c:pt>
                      <c:pt idx="70">
                        <c:v>9</c:v>
                      </c:pt>
                      <c:pt idx="71">
                        <c:v>13</c:v>
                      </c:pt>
                      <c:pt idx="72">
                        <c:v>13</c:v>
                      </c:pt>
                      <c:pt idx="73">
                        <c:v>11</c:v>
                      </c:pt>
                      <c:pt idx="74">
                        <c:v>9</c:v>
                      </c:pt>
                      <c:pt idx="75">
                        <c:v>12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cereal!$O$2:$O$77</c15:sqref>
                        </c15:formulaRef>
                      </c:ext>
                    </c:extLst>
                    <c:numCache>
                      <c:formatCode>General</c:formatCode>
                      <c:ptCount val="76"/>
                      <c:pt idx="0">
                        <c:v>0.5</c:v>
                      </c:pt>
                      <c:pt idx="1">
                        <c:v>0.67</c:v>
                      </c:pt>
                      <c:pt idx="2">
                        <c:v>0.67</c:v>
                      </c:pt>
                      <c:pt idx="3">
                        <c:v>0.33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0.33</c:v>
                      </c:pt>
                      <c:pt idx="10">
                        <c:v>1</c:v>
                      </c:pt>
                      <c:pt idx="11">
                        <c:v>0.8</c:v>
                      </c:pt>
                      <c:pt idx="12">
                        <c:v>0.5</c:v>
                      </c:pt>
                      <c:pt idx="13">
                        <c:v>1</c:v>
                      </c:pt>
                      <c:pt idx="14">
                        <c:v>0.25</c:v>
                      </c:pt>
                      <c:pt idx="15">
                        <c:v>0.67</c:v>
                      </c:pt>
                      <c:pt idx="16">
                        <c:v>1</c:v>
                      </c:pt>
                      <c:pt idx="17">
                        <c:v>0.88</c:v>
                      </c:pt>
                      <c:pt idx="18">
                        <c:v>1</c:v>
                      </c:pt>
                      <c:pt idx="19">
                        <c:v>1.25</c:v>
                      </c:pt>
                      <c:pt idx="20">
                        <c:v>0.67</c:v>
                      </c:pt>
                      <c:pt idx="21">
                        <c:v>0.5</c:v>
                      </c:pt>
                      <c:pt idx="22">
                        <c:v>0.67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0.33</c:v>
                      </c:pt>
                      <c:pt idx="27">
                        <c:v>0.67</c:v>
                      </c:pt>
                      <c:pt idx="28">
                        <c:v>0.75</c:v>
                      </c:pt>
                      <c:pt idx="29">
                        <c:v>1.1299999999999999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0.67</c:v>
                      </c:pt>
                      <c:pt idx="33">
                        <c:v>0.67</c:v>
                      </c:pt>
                      <c:pt idx="34">
                        <c:v>0.67</c:v>
                      </c:pt>
                      <c:pt idx="35">
                        <c:v>1</c:v>
                      </c:pt>
                      <c:pt idx="36">
                        <c:v>0.5</c:v>
                      </c:pt>
                      <c:pt idx="37">
                        <c:v>0.5</c:v>
                      </c:pt>
                      <c:pt idx="38">
                        <c:v>1</c:v>
                      </c:pt>
                      <c:pt idx="39">
                        <c:v>0.5</c:v>
                      </c:pt>
                      <c:pt idx="40">
                        <c:v>0.75</c:v>
                      </c:pt>
                      <c:pt idx="41">
                        <c:v>1.5</c:v>
                      </c:pt>
                      <c:pt idx="42">
                        <c:v>0.75</c:v>
                      </c:pt>
                      <c:pt idx="43">
                        <c:v>1</c:v>
                      </c:pt>
                      <c:pt idx="44">
                        <c:v>0.67</c:v>
                      </c:pt>
                      <c:pt idx="45">
                        <c:v>1</c:v>
                      </c:pt>
                      <c:pt idx="46">
                        <c:v>0.75</c:v>
                      </c:pt>
                      <c:pt idx="47">
                        <c:v>1</c:v>
                      </c:pt>
                      <c:pt idx="48">
                        <c:v>0.75</c:v>
                      </c:pt>
                      <c:pt idx="49">
                        <c:v>0.75</c:v>
                      </c:pt>
                      <c:pt idx="50">
                        <c:v>0.75</c:v>
                      </c:pt>
                      <c:pt idx="51">
                        <c:v>1</c:v>
                      </c:pt>
                      <c:pt idx="52">
                        <c:v>0.88</c:v>
                      </c:pt>
                      <c:pt idx="53">
                        <c:v>0.75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0.75</c:v>
                      </c:pt>
                      <c:pt idx="59">
                        <c:v>0.75</c:v>
                      </c:pt>
                      <c:pt idx="60">
                        <c:v>0.75</c:v>
                      </c:pt>
                      <c:pt idx="61">
                        <c:v>0.5</c:v>
                      </c:pt>
                      <c:pt idx="62">
                        <c:v>0.67</c:v>
                      </c:pt>
                      <c:pt idx="63">
                        <c:v>0.67</c:v>
                      </c:pt>
                      <c:pt idx="64">
                        <c:v>0.75</c:v>
                      </c:pt>
                      <c:pt idx="65">
                        <c:v>1.33</c:v>
                      </c:pt>
                      <c:pt idx="66">
                        <c:v>1</c:v>
                      </c:pt>
                      <c:pt idx="67">
                        <c:v>0.75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0.75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0.75</c:v>
                      </c:pt>
                      <c:pt idx="75">
                        <c:v>0.75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09BB-400E-BFEB-FCB4C5949638}"/>
                  </c:ext>
                </c:extLst>
              </c15:ser>
            </c15:filteredScatterSeries>
          </c:ext>
        </c:extLst>
      </c:scatterChart>
      <c:valAx>
        <c:axId val="1631200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Sugar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656672"/>
        <c:crosses val="autoZero"/>
        <c:crossBetween val="midCat"/>
      </c:valAx>
      <c:valAx>
        <c:axId val="163565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200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Fiber</a:t>
            </a:r>
            <a:r>
              <a:rPr lang="en-US" baseline="0"/>
              <a:t> Vs Rating</a:t>
            </a:r>
            <a:endParaRPr lang="en-US"/>
          </a:p>
        </c:rich>
      </c:tx>
      <c:layout>
        <c:manualLayout>
          <c:xMode val="edge"/>
          <c:yMode val="edge"/>
          <c:x val="0.3341456692913386"/>
          <c:y val="3.67816091954022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7"/>
          <c:order val="7"/>
          <c:tx>
            <c:strRef>
              <c:f>cereal!$P$1</c:f>
              <c:strCache>
                <c:ptCount val="1"/>
                <c:pt idx="0">
                  <c:v>rating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cereal!$H$2:$H$77</c:f>
              <c:numCache>
                <c:formatCode>General</c:formatCode>
                <c:ptCount val="76"/>
                <c:pt idx="0">
                  <c:v>14</c:v>
                </c:pt>
                <c:pt idx="1">
                  <c:v>4</c:v>
                </c:pt>
                <c:pt idx="2">
                  <c:v>3</c:v>
                </c:pt>
                <c:pt idx="3">
                  <c:v>10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3</c:v>
                </c:pt>
                <c:pt idx="9">
                  <c:v>9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0</c:v>
                </c:pt>
                <c:pt idx="14">
                  <c:v>3</c:v>
                </c:pt>
                <c:pt idx="15">
                  <c:v>5</c:v>
                </c:pt>
                <c:pt idx="16">
                  <c:v>1</c:v>
                </c:pt>
                <c:pt idx="17">
                  <c:v>3</c:v>
                </c:pt>
                <c:pt idx="18">
                  <c:v>3</c:v>
                </c:pt>
                <c:pt idx="19">
                  <c:v>2</c:v>
                </c:pt>
                <c:pt idx="20">
                  <c:v>3</c:v>
                </c:pt>
                <c:pt idx="21">
                  <c:v>2</c:v>
                </c:pt>
                <c:pt idx="22">
                  <c:v>4</c:v>
                </c:pt>
                <c:pt idx="23">
                  <c:v>1</c:v>
                </c:pt>
                <c:pt idx="24">
                  <c:v>3</c:v>
                </c:pt>
                <c:pt idx="25">
                  <c:v>1</c:v>
                </c:pt>
                <c:pt idx="26">
                  <c:v>3</c:v>
                </c:pt>
                <c:pt idx="27">
                  <c:v>2</c:v>
                </c:pt>
                <c:pt idx="28">
                  <c:v>1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5</c:v>
                </c:pt>
                <c:pt idx="33">
                  <c:v>5</c:v>
                </c:pt>
                <c:pt idx="34">
                  <c:v>3</c:v>
                </c:pt>
                <c:pt idx="35">
                  <c:v>0</c:v>
                </c:pt>
                <c:pt idx="36">
                  <c:v>4</c:v>
                </c:pt>
                <c:pt idx="37">
                  <c:v>2</c:v>
                </c:pt>
                <c:pt idx="38">
                  <c:v>2</c:v>
                </c:pt>
                <c:pt idx="39">
                  <c:v>2.5</c:v>
                </c:pt>
                <c:pt idx="40">
                  <c:v>5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6</c:v>
                </c:pt>
                <c:pt idx="45">
                  <c:v>3</c:v>
                </c:pt>
                <c:pt idx="46">
                  <c:v>2</c:v>
                </c:pt>
                <c:pt idx="47">
                  <c:v>1</c:v>
                </c:pt>
                <c:pt idx="48">
                  <c:v>2</c:v>
                </c:pt>
                <c:pt idx="49">
                  <c:v>1</c:v>
                </c:pt>
                <c:pt idx="50">
                  <c:v>2</c:v>
                </c:pt>
                <c:pt idx="51">
                  <c:v>1</c:v>
                </c:pt>
                <c:pt idx="52">
                  <c:v>0</c:v>
                </c:pt>
                <c:pt idx="53">
                  <c:v>1</c:v>
                </c:pt>
                <c:pt idx="54">
                  <c:v>3</c:v>
                </c:pt>
                <c:pt idx="55">
                  <c:v>2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1.5</c:v>
                </c:pt>
                <c:pt idx="61">
                  <c:v>1.5</c:v>
                </c:pt>
                <c:pt idx="62">
                  <c:v>3</c:v>
                </c:pt>
                <c:pt idx="63">
                  <c:v>0</c:v>
                </c:pt>
                <c:pt idx="64">
                  <c:v>1.5</c:v>
                </c:pt>
                <c:pt idx="65">
                  <c:v>0</c:v>
                </c:pt>
                <c:pt idx="66">
                  <c:v>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</c:numCache>
            </c:numRef>
          </c:xVal>
          <c:yVal>
            <c:numRef>
              <c:f>cereal!$P$2:$P$77</c:f>
              <c:numCache>
                <c:formatCode>General</c:formatCode>
                <c:ptCount val="76"/>
                <c:pt idx="0">
                  <c:v>93.704911999999993</c:v>
                </c:pt>
                <c:pt idx="1">
                  <c:v>74.472949</c:v>
                </c:pt>
                <c:pt idx="2">
                  <c:v>72.801787000000004</c:v>
                </c:pt>
                <c:pt idx="3">
                  <c:v>68.402973000000003</c:v>
                </c:pt>
                <c:pt idx="4">
                  <c:v>68.235884999999996</c:v>
                </c:pt>
                <c:pt idx="5">
                  <c:v>64.533816000000002</c:v>
                </c:pt>
                <c:pt idx="6">
                  <c:v>63.005645000000001</c:v>
                </c:pt>
                <c:pt idx="7">
                  <c:v>60.756112000000002</c:v>
                </c:pt>
                <c:pt idx="8">
                  <c:v>59.642837</c:v>
                </c:pt>
                <c:pt idx="9">
                  <c:v>59.425505000000001</c:v>
                </c:pt>
                <c:pt idx="10">
                  <c:v>59.363993000000001</c:v>
                </c:pt>
                <c:pt idx="11">
                  <c:v>58.345140999999998</c:v>
                </c:pt>
                <c:pt idx="12">
                  <c:v>55.333142000000002</c:v>
                </c:pt>
                <c:pt idx="13">
                  <c:v>54.850917000000003</c:v>
                </c:pt>
                <c:pt idx="14">
                  <c:v>53.371006999999999</c:v>
                </c:pt>
                <c:pt idx="15">
                  <c:v>53.313813000000003</c:v>
                </c:pt>
                <c:pt idx="16">
                  <c:v>53.131323999999999</c:v>
                </c:pt>
                <c:pt idx="17">
                  <c:v>52.076897000000002</c:v>
                </c:pt>
                <c:pt idx="18">
                  <c:v>51.592193000000002</c:v>
                </c:pt>
                <c:pt idx="19">
                  <c:v>50.764999000000003</c:v>
                </c:pt>
                <c:pt idx="20">
                  <c:v>49.787444999999998</c:v>
                </c:pt>
                <c:pt idx="21">
                  <c:v>49.511873999999999</c:v>
                </c:pt>
                <c:pt idx="22">
                  <c:v>49.120252999999998</c:v>
                </c:pt>
                <c:pt idx="23">
                  <c:v>46.895643999999997</c:v>
                </c:pt>
                <c:pt idx="24">
                  <c:v>46.658844000000002</c:v>
                </c:pt>
                <c:pt idx="25">
                  <c:v>45.863323999999999</c:v>
                </c:pt>
                <c:pt idx="26">
                  <c:v>45.811715999999997</c:v>
                </c:pt>
                <c:pt idx="27">
                  <c:v>45.328074000000001</c:v>
                </c:pt>
                <c:pt idx="28">
                  <c:v>44.330855999999997</c:v>
                </c:pt>
                <c:pt idx="29">
                  <c:v>41.998933000000001</c:v>
                </c:pt>
                <c:pt idx="30">
                  <c:v>41.503540000000001</c:v>
                </c:pt>
                <c:pt idx="31">
                  <c:v>41.445019000000002</c:v>
                </c:pt>
                <c:pt idx="32">
                  <c:v>41.015492000000002</c:v>
                </c:pt>
                <c:pt idx="33">
                  <c:v>40.917046999999997</c:v>
                </c:pt>
                <c:pt idx="34">
                  <c:v>40.692320000000002</c:v>
                </c:pt>
                <c:pt idx="35">
                  <c:v>40.560158999999999</c:v>
                </c:pt>
                <c:pt idx="36">
                  <c:v>40.448771999999998</c:v>
                </c:pt>
                <c:pt idx="37">
                  <c:v>40.400207999999999</c:v>
                </c:pt>
                <c:pt idx="38">
                  <c:v>40.105964999999998</c:v>
                </c:pt>
                <c:pt idx="39">
                  <c:v>39.703400000000002</c:v>
                </c:pt>
                <c:pt idx="40">
                  <c:v>39.259197</c:v>
                </c:pt>
                <c:pt idx="41">
                  <c:v>39.241114000000003</c:v>
                </c:pt>
                <c:pt idx="42">
                  <c:v>39.106174000000003</c:v>
                </c:pt>
                <c:pt idx="43">
                  <c:v>38.839745999999998</c:v>
                </c:pt>
                <c:pt idx="44">
                  <c:v>37.840594000000003</c:v>
                </c:pt>
                <c:pt idx="45">
                  <c:v>37.136862999999998</c:v>
                </c:pt>
                <c:pt idx="46">
                  <c:v>37.038561999999999</c:v>
                </c:pt>
                <c:pt idx="47">
                  <c:v>36.523682999999998</c:v>
                </c:pt>
                <c:pt idx="48">
                  <c:v>36.471511999999997</c:v>
                </c:pt>
                <c:pt idx="49">
                  <c:v>36.187559</c:v>
                </c:pt>
                <c:pt idx="50">
                  <c:v>36.176195999999997</c:v>
                </c:pt>
                <c:pt idx="51">
                  <c:v>35.782791000000003</c:v>
                </c:pt>
                <c:pt idx="52">
                  <c:v>35.252443999999997</c:v>
                </c:pt>
                <c:pt idx="53">
                  <c:v>34.384842999999996</c:v>
                </c:pt>
                <c:pt idx="54">
                  <c:v>34.139764999999997</c:v>
                </c:pt>
                <c:pt idx="55">
                  <c:v>33.983679000000002</c:v>
                </c:pt>
                <c:pt idx="56">
                  <c:v>33.174093999999997</c:v>
                </c:pt>
                <c:pt idx="57">
                  <c:v>32.207582000000002</c:v>
                </c:pt>
                <c:pt idx="58">
                  <c:v>31.435973000000001</c:v>
                </c:pt>
                <c:pt idx="59">
                  <c:v>31.230053999999999</c:v>
                </c:pt>
                <c:pt idx="60">
                  <c:v>31.072216999999998</c:v>
                </c:pt>
                <c:pt idx="61">
                  <c:v>30.450842999999999</c:v>
                </c:pt>
                <c:pt idx="62">
                  <c:v>30.313351000000001</c:v>
                </c:pt>
                <c:pt idx="63">
                  <c:v>29.924285000000001</c:v>
                </c:pt>
                <c:pt idx="64">
                  <c:v>29.509540999999999</c:v>
                </c:pt>
                <c:pt idx="65">
                  <c:v>28.742414</c:v>
                </c:pt>
                <c:pt idx="66">
                  <c:v>28.592784999999999</c:v>
                </c:pt>
                <c:pt idx="67">
                  <c:v>28.025765</c:v>
                </c:pt>
                <c:pt idx="68">
                  <c:v>27.753301</c:v>
                </c:pt>
                <c:pt idx="69">
                  <c:v>26.734514999999998</c:v>
                </c:pt>
                <c:pt idx="70">
                  <c:v>23.804043</c:v>
                </c:pt>
                <c:pt idx="71">
                  <c:v>22.736446000000001</c:v>
                </c:pt>
                <c:pt idx="72">
                  <c:v>22.396512999999999</c:v>
                </c:pt>
                <c:pt idx="73">
                  <c:v>21.871292</c:v>
                </c:pt>
                <c:pt idx="74">
                  <c:v>19.823573</c:v>
                </c:pt>
                <c:pt idx="75">
                  <c:v>18.042850999999999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B5-4C71-9443-BD88AE2DA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1485872"/>
        <c:axId val="163565209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cereal!$I$1</c15:sqref>
                        </c15:formulaRef>
                      </c:ext>
                    </c:extLst>
                    <c:strCache>
                      <c:ptCount val="1"/>
                      <c:pt idx="0">
                        <c:v>carbo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1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 cap="rnd">
                      <a:solidFill>
                        <a:schemeClr val="accent1"/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cereal!$H$2:$H$77</c15:sqref>
                        </c15:formulaRef>
                      </c:ext>
                    </c:extLst>
                    <c:numCache>
                      <c:formatCode>General</c:formatCode>
                      <c:ptCount val="76"/>
                      <c:pt idx="0">
                        <c:v>14</c:v>
                      </c:pt>
                      <c:pt idx="1">
                        <c:v>4</c:v>
                      </c:pt>
                      <c:pt idx="2">
                        <c:v>3</c:v>
                      </c:pt>
                      <c:pt idx="3">
                        <c:v>10</c:v>
                      </c:pt>
                      <c:pt idx="4">
                        <c:v>3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0</c:v>
                      </c:pt>
                      <c:pt idx="8">
                        <c:v>3</c:v>
                      </c:pt>
                      <c:pt idx="9">
                        <c:v>9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2</c:v>
                      </c:pt>
                      <c:pt idx="13">
                        <c:v>0</c:v>
                      </c:pt>
                      <c:pt idx="14">
                        <c:v>3</c:v>
                      </c:pt>
                      <c:pt idx="15">
                        <c:v>5</c:v>
                      </c:pt>
                      <c:pt idx="16">
                        <c:v>1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2</c:v>
                      </c:pt>
                      <c:pt idx="20">
                        <c:v>3</c:v>
                      </c:pt>
                      <c:pt idx="21">
                        <c:v>2</c:v>
                      </c:pt>
                      <c:pt idx="22">
                        <c:v>4</c:v>
                      </c:pt>
                      <c:pt idx="23">
                        <c:v>1</c:v>
                      </c:pt>
                      <c:pt idx="24">
                        <c:v>3</c:v>
                      </c:pt>
                      <c:pt idx="25">
                        <c:v>1</c:v>
                      </c:pt>
                      <c:pt idx="26">
                        <c:v>3</c:v>
                      </c:pt>
                      <c:pt idx="27">
                        <c:v>2</c:v>
                      </c:pt>
                      <c:pt idx="28">
                        <c:v>1</c:v>
                      </c:pt>
                      <c:pt idx="29">
                        <c:v>0</c:v>
                      </c:pt>
                      <c:pt idx="30">
                        <c:v>1</c:v>
                      </c:pt>
                      <c:pt idx="31">
                        <c:v>0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3</c:v>
                      </c:pt>
                      <c:pt idx="35">
                        <c:v>0</c:v>
                      </c:pt>
                      <c:pt idx="36">
                        <c:v>4</c:v>
                      </c:pt>
                      <c:pt idx="37">
                        <c:v>2</c:v>
                      </c:pt>
                      <c:pt idx="38">
                        <c:v>2</c:v>
                      </c:pt>
                      <c:pt idx="39">
                        <c:v>2.5</c:v>
                      </c:pt>
                      <c:pt idx="40">
                        <c:v>5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6</c:v>
                      </c:pt>
                      <c:pt idx="45">
                        <c:v>3</c:v>
                      </c:pt>
                      <c:pt idx="46">
                        <c:v>2</c:v>
                      </c:pt>
                      <c:pt idx="47">
                        <c:v>1</c:v>
                      </c:pt>
                      <c:pt idx="48">
                        <c:v>2</c:v>
                      </c:pt>
                      <c:pt idx="49">
                        <c:v>1</c:v>
                      </c:pt>
                      <c:pt idx="50">
                        <c:v>2</c:v>
                      </c:pt>
                      <c:pt idx="51">
                        <c:v>1</c:v>
                      </c:pt>
                      <c:pt idx="52">
                        <c:v>0</c:v>
                      </c:pt>
                      <c:pt idx="53">
                        <c:v>1</c:v>
                      </c:pt>
                      <c:pt idx="54">
                        <c:v>3</c:v>
                      </c:pt>
                      <c:pt idx="55">
                        <c:v>2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1.5</c:v>
                      </c:pt>
                      <c:pt idx="61">
                        <c:v>1.5</c:v>
                      </c:pt>
                      <c:pt idx="62">
                        <c:v>3</c:v>
                      </c:pt>
                      <c:pt idx="63">
                        <c:v>0</c:v>
                      </c:pt>
                      <c:pt idx="64">
                        <c:v>1.5</c:v>
                      </c:pt>
                      <c:pt idx="65">
                        <c:v>0</c:v>
                      </c:pt>
                      <c:pt idx="66">
                        <c:v>4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1</c:v>
                      </c:pt>
                      <c:pt idx="74">
                        <c:v>0</c:v>
                      </c:pt>
                      <c:pt idx="75">
                        <c:v>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cereal!$I$2:$I$77</c15:sqref>
                        </c15:formulaRef>
                      </c:ext>
                    </c:extLst>
                    <c:numCache>
                      <c:formatCode>General</c:formatCode>
                      <c:ptCount val="76"/>
                      <c:pt idx="0">
                        <c:v>8</c:v>
                      </c:pt>
                      <c:pt idx="1">
                        <c:v>19</c:v>
                      </c:pt>
                      <c:pt idx="2">
                        <c:v>20</c:v>
                      </c:pt>
                      <c:pt idx="3">
                        <c:v>5</c:v>
                      </c:pt>
                      <c:pt idx="4">
                        <c:v>16</c:v>
                      </c:pt>
                      <c:pt idx="5">
                        <c:v>21</c:v>
                      </c:pt>
                      <c:pt idx="6">
                        <c:v>10</c:v>
                      </c:pt>
                      <c:pt idx="7">
                        <c:v>13</c:v>
                      </c:pt>
                      <c:pt idx="8">
                        <c:v>18</c:v>
                      </c:pt>
                      <c:pt idx="9">
                        <c:v>7</c:v>
                      </c:pt>
                      <c:pt idx="10">
                        <c:v>15</c:v>
                      </c:pt>
                      <c:pt idx="11">
                        <c:v>14</c:v>
                      </c:pt>
                      <c:pt idx="12">
                        <c:v>15</c:v>
                      </c:pt>
                      <c:pt idx="13">
                        <c:v>16</c:v>
                      </c:pt>
                      <c:pt idx="14">
                        <c:v>17</c:v>
                      </c:pt>
                      <c:pt idx="15">
                        <c:v>13</c:v>
                      </c:pt>
                      <c:pt idx="16">
                        <c:v>16</c:v>
                      </c:pt>
                      <c:pt idx="17">
                        <c:v>15</c:v>
                      </c:pt>
                      <c:pt idx="18">
                        <c:v>17</c:v>
                      </c:pt>
                      <c:pt idx="19">
                        <c:v>17</c:v>
                      </c:pt>
                      <c:pt idx="20">
                        <c:v>17</c:v>
                      </c:pt>
                      <c:pt idx="21">
                        <c:v>14</c:v>
                      </c:pt>
                      <c:pt idx="22">
                        <c:v>15</c:v>
                      </c:pt>
                      <c:pt idx="23">
                        <c:v>21</c:v>
                      </c:pt>
                      <c:pt idx="24">
                        <c:v>16</c:v>
                      </c:pt>
                      <c:pt idx="25">
                        <c:v>21</c:v>
                      </c:pt>
                      <c:pt idx="26">
                        <c:v>13</c:v>
                      </c:pt>
                      <c:pt idx="27">
                        <c:v>12</c:v>
                      </c:pt>
                      <c:pt idx="28">
                        <c:v>18</c:v>
                      </c:pt>
                      <c:pt idx="29">
                        <c:v>23</c:v>
                      </c:pt>
                      <c:pt idx="30">
                        <c:v>20</c:v>
                      </c:pt>
                      <c:pt idx="31">
                        <c:v>22</c:v>
                      </c:pt>
                      <c:pt idx="32">
                        <c:v>14</c:v>
                      </c:pt>
                      <c:pt idx="33">
                        <c:v>12</c:v>
                      </c:pt>
                      <c:pt idx="34">
                        <c:v>21</c:v>
                      </c:pt>
                      <c:pt idx="35">
                        <c:v>22</c:v>
                      </c:pt>
                      <c:pt idx="36">
                        <c:v>10</c:v>
                      </c:pt>
                      <c:pt idx="37">
                        <c:v>13</c:v>
                      </c:pt>
                      <c:pt idx="38">
                        <c:v>15</c:v>
                      </c:pt>
                      <c:pt idx="39">
                        <c:v>10.5</c:v>
                      </c:pt>
                      <c:pt idx="40">
                        <c:v>14</c:v>
                      </c:pt>
                      <c:pt idx="41">
                        <c:v>21</c:v>
                      </c:pt>
                      <c:pt idx="42">
                        <c:v>21</c:v>
                      </c:pt>
                      <c:pt idx="43">
                        <c:v>21</c:v>
                      </c:pt>
                      <c:pt idx="44">
                        <c:v>11</c:v>
                      </c:pt>
                      <c:pt idx="45">
                        <c:v>16</c:v>
                      </c:pt>
                      <c:pt idx="46">
                        <c:v>18</c:v>
                      </c:pt>
                      <c:pt idx="47">
                        <c:v>17</c:v>
                      </c:pt>
                      <c:pt idx="48">
                        <c:v>20</c:v>
                      </c:pt>
                      <c:pt idx="49">
                        <c:v>16</c:v>
                      </c:pt>
                      <c:pt idx="50">
                        <c:v>11</c:v>
                      </c:pt>
                      <c:pt idx="51">
                        <c:v>13</c:v>
                      </c:pt>
                      <c:pt idx="52">
                        <c:v>11</c:v>
                      </c:pt>
                      <c:pt idx="53">
                        <c:v>14</c:v>
                      </c:pt>
                      <c:pt idx="54">
                        <c:v>16</c:v>
                      </c:pt>
                      <c:pt idx="55">
                        <c:v>8</c:v>
                      </c:pt>
                      <c:pt idx="56">
                        <c:v>11</c:v>
                      </c:pt>
                      <c:pt idx="57">
                        <c:v>11</c:v>
                      </c:pt>
                      <c:pt idx="58">
                        <c:v>14</c:v>
                      </c:pt>
                      <c:pt idx="59">
                        <c:v>9</c:v>
                      </c:pt>
                      <c:pt idx="60">
                        <c:v>11.5</c:v>
                      </c:pt>
                      <c:pt idx="61">
                        <c:v>13.5</c:v>
                      </c:pt>
                      <c:pt idx="62">
                        <c:v>17</c:v>
                      </c:pt>
                      <c:pt idx="63">
                        <c:v>15</c:v>
                      </c:pt>
                      <c:pt idx="64">
                        <c:v>10.5</c:v>
                      </c:pt>
                      <c:pt idx="65">
                        <c:v>14</c:v>
                      </c:pt>
                      <c:pt idx="66">
                        <c:v>15</c:v>
                      </c:pt>
                      <c:pt idx="67">
                        <c:v>13</c:v>
                      </c:pt>
                      <c:pt idx="68">
                        <c:v>13</c:v>
                      </c:pt>
                      <c:pt idx="69">
                        <c:v>12</c:v>
                      </c:pt>
                      <c:pt idx="70">
                        <c:v>15</c:v>
                      </c:pt>
                      <c:pt idx="71">
                        <c:v>12</c:v>
                      </c:pt>
                      <c:pt idx="72">
                        <c:v>12</c:v>
                      </c:pt>
                      <c:pt idx="73">
                        <c:v>12</c:v>
                      </c:pt>
                      <c:pt idx="74">
                        <c:v>13</c:v>
                      </c:pt>
                      <c:pt idx="75">
                        <c:v>12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E2B5-4C71-9443-BD88AE2DA6D7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cereal!$J$1</c15:sqref>
                        </c15:formulaRef>
                      </c:ext>
                    </c:extLst>
                    <c:strCache>
                      <c:ptCount val="1"/>
                      <c:pt idx="0">
                        <c:v>sugars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 cap="rnd">
                      <a:solidFill>
                        <a:schemeClr val="accent3"/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cereal!$H$2:$H$77</c15:sqref>
                        </c15:formulaRef>
                      </c:ext>
                    </c:extLst>
                    <c:numCache>
                      <c:formatCode>General</c:formatCode>
                      <c:ptCount val="76"/>
                      <c:pt idx="0">
                        <c:v>14</c:v>
                      </c:pt>
                      <c:pt idx="1">
                        <c:v>4</c:v>
                      </c:pt>
                      <c:pt idx="2">
                        <c:v>3</c:v>
                      </c:pt>
                      <c:pt idx="3">
                        <c:v>10</c:v>
                      </c:pt>
                      <c:pt idx="4">
                        <c:v>3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0</c:v>
                      </c:pt>
                      <c:pt idx="8">
                        <c:v>3</c:v>
                      </c:pt>
                      <c:pt idx="9">
                        <c:v>9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2</c:v>
                      </c:pt>
                      <c:pt idx="13">
                        <c:v>0</c:v>
                      </c:pt>
                      <c:pt idx="14">
                        <c:v>3</c:v>
                      </c:pt>
                      <c:pt idx="15">
                        <c:v>5</c:v>
                      </c:pt>
                      <c:pt idx="16">
                        <c:v>1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2</c:v>
                      </c:pt>
                      <c:pt idx="20">
                        <c:v>3</c:v>
                      </c:pt>
                      <c:pt idx="21">
                        <c:v>2</c:v>
                      </c:pt>
                      <c:pt idx="22">
                        <c:v>4</c:v>
                      </c:pt>
                      <c:pt idx="23">
                        <c:v>1</c:v>
                      </c:pt>
                      <c:pt idx="24">
                        <c:v>3</c:v>
                      </c:pt>
                      <c:pt idx="25">
                        <c:v>1</c:v>
                      </c:pt>
                      <c:pt idx="26">
                        <c:v>3</c:v>
                      </c:pt>
                      <c:pt idx="27">
                        <c:v>2</c:v>
                      </c:pt>
                      <c:pt idx="28">
                        <c:v>1</c:v>
                      </c:pt>
                      <c:pt idx="29">
                        <c:v>0</c:v>
                      </c:pt>
                      <c:pt idx="30">
                        <c:v>1</c:v>
                      </c:pt>
                      <c:pt idx="31">
                        <c:v>0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3</c:v>
                      </c:pt>
                      <c:pt idx="35">
                        <c:v>0</c:v>
                      </c:pt>
                      <c:pt idx="36">
                        <c:v>4</c:v>
                      </c:pt>
                      <c:pt idx="37">
                        <c:v>2</c:v>
                      </c:pt>
                      <c:pt idx="38">
                        <c:v>2</c:v>
                      </c:pt>
                      <c:pt idx="39">
                        <c:v>2.5</c:v>
                      </c:pt>
                      <c:pt idx="40">
                        <c:v>5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6</c:v>
                      </c:pt>
                      <c:pt idx="45">
                        <c:v>3</c:v>
                      </c:pt>
                      <c:pt idx="46">
                        <c:v>2</c:v>
                      </c:pt>
                      <c:pt idx="47">
                        <c:v>1</c:v>
                      </c:pt>
                      <c:pt idx="48">
                        <c:v>2</c:v>
                      </c:pt>
                      <c:pt idx="49">
                        <c:v>1</c:v>
                      </c:pt>
                      <c:pt idx="50">
                        <c:v>2</c:v>
                      </c:pt>
                      <c:pt idx="51">
                        <c:v>1</c:v>
                      </c:pt>
                      <c:pt idx="52">
                        <c:v>0</c:v>
                      </c:pt>
                      <c:pt idx="53">
                        <c:v>1</c:v>
                      </c:pt>
                      <c:pt idx="54">
                        <c:v>3</c:v>
                      </c:pt>
                      <c:pt idx="55">
                        <c:v>2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1.5</c:v>
                      </c:pt>
                      <c:pt idx="61">
                        <c:v>1.5</c:v>
                      </c:pt>
                      <c:pt idx="62">
                        <c:v>3</c:v>
                      </c:pt>
                      <c:pt idx="63">
                        <c:v>0</c:v>
                      </c:pt>
                      <c:pt idx="64">
                        <c:v>1.5</c:v>
                      </c:pt>
                      <c:pt idx="65">
                        <c:v>0</c:v>
                      </c:pt>
                      <c:pt idx="66">
                        <c:v>4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1</c:v>
                      </c:pt>
                      <c:pt idx="74">
                        <c:v>0</c:v>
                      </c:pt>
                      <c:pt idx="75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cereal!$J$2:$J$77</c15:sqref>
                        </c15:formulaRef>
                      </c:ext>
                    </c:extLst>
                    <c:numCache>
                      <c:formatCode>General</c:formatCode>
                      <c:ptCount val="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</c:v>
                      </c:pt>
                      <c:pt idx="9">
                        <c:v>5</c:v>
                      </c:pt>
                      <c:pt idx="10">
                        <c:v>5</c:v>
                      </c:pt>
                      <c:pt idx="11">
                        <c:v>7</c:v>
                      </c:pt>
                      <c:pt idx="12">
                        <c:v>6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5</c:v>
                      </c:pt>
                      <c:pt idx="16">
                        <c:v>3</c:v>
                      </c:pt>
                      <c:pt idx="17">
                        <c:v>5</c:v>
                      </c:pt>
                      <c:pt idx="18">
                        <c:v>3</c:v>
                      </c:pt>
                      <c:pt idx="19">
                        <c:v>1</c:v>
                      </c:pt>
                      <c:pt idx="20">
                        <c:v>3</c:v>
                      </c:pt>
                      <c:pt idx="21">
                        <c:v>6</c:v>
                      </c:pt>
                      <c:pt idx="22">
                        <c:v>6</c:v>
                      </c:pt>
                      <c:pt idx="23">
                        <c:v>3</c:v>
                      </c:pt>
                      <c:pt idx="24">
                        <c:v>3</c:v>
                      </c:pt>
                      <c:pt idx="25">
                        <c:v>2</c:v>
                      </c:pt>
                      <c:pt idx="26">
                        <c:v>4</c:v>
                      </c:pt>
                      <c:pt idx="27">
                        <c:v>6</c:v>
                      </c:pt>
                      <c:pt idx="28">
                        <c:v>5</c:v>
                      </c:pt>
                      <c:pt idx="29">
                        <c:v>2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12</c:v>
                      </c:pt>
                      <c:pt idx="33">
                        <c:v>10</c:v>
                      </c:pt>
                      <c:pt idx="34">
                        <c:v>7</c:v>
                      </c:pt>
                      <c:pt idx="35">
                        <c:v>3</c:v>
                      </c:pt>
                      <c:pt idx="36">
                        <c:v>7</c:v>
                      </c:pt>
                      <c:pt idx="37">
                        <c:v>7</c:v>
                      </c:pt>
                      <c:pt idx="38">
                        <c:v>6</c:v>
                      </c:pt>
                      <c:pt idx="39">
                        <c:v>8</c:v>
                      </c:pt>
                      <c:pt idx="40">
                        <c:v>12</c:v>
                      </c:pt>
                      <c:pt idx="41">
                        <c:v>3</c:v>
                      </c:pt>
                      <c:pt idx="42">
                        <c:v>3</c:v>
                      </c:pt>
                      <c:pt idx="43">
                        <c:v>3</c:v>
                      </c:pt>
                      <c:pt idx="44">
                        <c:v>14</c:v>
                      </c:pt>
                      <c:pt idx="45">
                        <c:v>11</c:v>
                      </c:pt>
                      <c:pt idx="46">
                        <c:v>8</c:v>
                      </c:pt>
                      <c:pt idx="47">
                        <c:v>6</c:v>
                      </c:pt>
                      <c:pt idx="48">
                        <c:v>9</c:v>
                      </c:pt>
                      <c:pt idx="49">
                        <c:v>8</c:v>
                      </c:pt>
                      <c:pt idx="50">
                        <c:v>10</c:v>
                      </c:pt>
                      <c:pt idx="51">
                        <c:v>12</c:v>
                      </c:pt>
                      <c:pt idx="52">
                        <c:v>15</c:v>
                      </c:pt>
                      <c:pt idx="53">
                        <c:v>8</c:v>
                      </c:pt>
                      <c:pt idx="54">
                        <c:v>11</c:v>
                      </c:pt>
                      <c:pt idx="55">
                        <c:v>8</c:v>
                      </c:pt>
                      <c:pt idx="56">
                        <c:v>14</c:v>
                      </c:pt>
                      <c:pt idx="57">
                        <c:v>13</c:v>
                      </c:pt>
                      <c:pt idx="58">
                        <c:v>11</c:v>
                      </c:pt>
                      <c:pt idx="59">
                        <c:v>15</c:v>
                      </c:pt>
                      <c:pt idx="60">
                        <c:v>10</c:v>
                      </c:pt>
                      <c:pt idx="61">
                        <c:v>10</c:v>
                      </c:pt>
                      <c:pt idx="62">
                        <c:v>13</c:v>
                      </c:pt>
                      <c:pt idx="63">
                        <c:v>9</c:v>
                      </c:pt>
                      <c:pt idx="64">
                        <c:v>10</c:v>
                      </c:pt>
                      <c:pt idx="65">
                        <c:v>11</c:v>
                      </c:pt>
                      <c:pt idx="66">
                        <c:v>14</c:v>
                      </c:pt>
                      <c:pt idx="67">
                        <c:v>12</c:v>
                      </c:pt>
                      <c:pt idx="68">
                        <c:v>12</c:v>
                      </c:pt>
                      <c:pt idx="69">
                        <c:v>12</c:v>
                      </c:pt>
                      <c:pt idx="70">
                        <c:v>9</c:v>
                      </c:pt>
                      <c:pt idx="71">
                        <c:v>13</c:v>
                      </c:pt>
                      <c:pt idx="72">
                        <c:v>13</c:v>
                      </c:pt>
                      <c:pt idx="73">
                        <c:v>11</c:v>
                      </c:pt>
                      <c:pt idx="74">
                        <c:v>9</c:v>
                      </c:pt>
                      <c:pt idx="75">
                        <c:v>12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2B5-4C71-9443-BD88AE2DA6D7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cereal!$K$1</c15:sqref>
                        </c15:formulaRef>
                      </c:ext>
                    </c:extLst>
                    <c:strCache>
                      <c:ptCount val="1"/>
                      <c:pt idx="0">
                        <c:v>potass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5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 cap="rnd">
                      <a:solidFill>
                        <a:schemeClr val="accent5"/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cereal!$H$2:$H$77</c15:sqref>
                        </c15:formulaRef>
                      </c:ext>
                    </c:extLst>
                    <c:numCache>
                      <c:formatCode>General</c:formatCode>
                      <c:ptCount val="76"/>
                      <c:pt idx="0">
                        <c:v>14</c:v>
                      </c:pt>
                      <c:pt idx="1">
                        <c:v>4</c:v>
                      </c:pt>
                      <c:pt idx="2">
                        <c:v>3</c:v>
                      </c:pt>
                      <c:pt idx="3">
                        <c:v>10</c:v>
                      </c:pt>
                      <c:pt idx="4">
                        <c:v>3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0</c:v>
                      </c:pt>
                      <c:pt idx="8">
                        <c:v>3</c:v>
                      </c:pt>
                      <c:pt idx="9">
                        <c:v>9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2</c:v>
                      </c:pt>
                      <c:pt idx="13">
                        <c:v>0</c:v>
                      </c:pt>
                      <c:pt idx="14">
                        <c:v>3</c:v>
                      </c:pt>
                      <c:pt idx="15">
                        <c:v>5</c:v>
                      </c:pt>
                      <c:pt idx="16">
                        <c:v>1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2</c:v>
                      </c:pt>
                      <c:pt idx="20">
                        <c:v>3</c:v>
                      </c:pt>
                      <c:pt idx="21">
                        <c:v>2</c:v>
                      </c:pt>
                      <c:pt idx="22">
                        <c:v>4</c:v>
                      </c:pt>
                      <c:pt idx="23">
                        <c:v>1</c:v>
                      </c:pt>
                      <c:pt idx="24">
                        <c:v>3</c:v>
                      </c:pt>
                      <c:pt idx="25">
                        <c:v>1</c:v>
                      </c:pt>
                      <c:pt idx="26">
                        <c:v>3</c:v>
                      </c:pt>
                      <c:pt idx="27">
                        <c:v>2</c:v>
                      </c:pt>
                      <c:pt idx="28">
                        <c:v>1</c:v>
                      </c:pt>
                      <c:pt idx="29">
                        <c:v>0</c:v>
                      </c:pt>
                      <c:pt idx="30">
                        <c:v>1</c:v>
                      </c:pt>
                      <c:pt idx="31">
                        <c:v>0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3</c:v>
                      </c:pt>
                      <c:pt idx="35">
                        <c:v>0</c:v>
                      </c:pt>
                      <c:pt idx="36">
                        <c:v>4</c:v>
                      </c:pt>
                      <c:pt idx="37">
                        <c:v>2</c:v>
                      </c:pt>
                      <c:pt idx="38">
                        <c:v>2</c:v>
                      </c:pt>
                      <c:pt idx="39">
                        <c:v>2.5</c:v>
                      </c:pt>
                      <c:pt idx="40">
                        <c:v>5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6</c:v>
                      </c:pt>
                      <c:pt idx="45">
                        <c:v>3</c:v>
                      </c:pt>
                      <c:pt idx="46">
                        <c:v>2</c:v>
                      </c:pt>
                      <c:pt idx="47">
                        <c:v>1</c:v>
                      </c:pt>
                      <c:pt idx="48">
                        <c:v>2</c:v>
                      </c:pt>
                      <c:pt idx="49">
                        <c:v>1</c:v>
                      </c:pt>
                      <c:pt idx="50">
                        <c:v>2</c:v>
                      </c:pt>
                      <c:pt idx="51">
                        <c:v>1</c:v>
                      </c:pt>
                      <c:pt idx="52">
                        <c:v>0</c:v>
                      </c:pt>
                      <c:pt idx="53">
                        <c:v>1</c:v>
                      </c:pt>
                      <c:pt idx="54">
                        <c:v>3</c:v>
                      </c:pt>
                      <c:pt idx="55">
                        <c:v>2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1.5</c:v>
                      </c:pt>
                      <c:pt idx="61">
                        <c:v>1.5</c:v>
                      </c:pt>
                      <c:pt idx="62">
                        <c:v>3</c:v>
                      </c:pt>
                      <c:pt idx="63">
                        <c:v>0</c:v>
                      </c:pt>
                      <c:pt idx="64">
                        <c:v>1.5</c:v>
                      </c:pt>
                      <c:pt idx="65">
                        <c:v>0</c:v>
                      </c:pt>
                      <c:pt idx="66">
                        <c:v>4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1</c:v>
                      </c:pt>
                      <c:pt idx="74">
                        <c:v>0</c:v>
                      </c:pt>
                      <c:pt idx="75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cereal!$K$2:$K$77</c15:sqref>
                        </c15:formulaRef>
                      </c:ext>
                    </c:extLst>
                    <c:numCache>
                      <c:formatCode>General</c:formatCode>
                      <c:ptCount val="76"/>
                      <c:pt idx="0">
                        <c:v>330</c:v>
                      </c:pt>
                      <c:pt idx="1">
                        <c:v>140</c:v>
                      </c:pt>
                      <c:pt idx="2">
                        <c:v>120</c:v>
                      </c:pt>
                      <c:pt idx="3">
                        <c:v>280</c:v>
                      </c:pt>
                      <c:pt idx="4">
                        <c:v>95</c:v>
                      </c:pt>
                      <c:pt idx="5">
                        <c:v>-1</c:v>
                      </c:pt>
                      <c:pt idx="6">
                        <c:v>50</c:v>
                      </c:pt>
                      <c:pt idx="7">
                        <c:v>15</c:v>
                      </c:pt>
                      <c:pt idx="8">
                        <c:v>90</c:v>
                      </c:pt>
                      <c:pt idx="9">
                        <c:v>320</c:v>
                      </c:pt>
                      <c:pt idx="10">
                        <c:v>90</c:v>
                      </c:pt>
                      <c:pt idx="11">
                        <c:v>100</c:v>
                      </c:pt>
                      <c:pt idx="12">
                        <c:v>110</c:v>
                      </c:pt>
                      <c:pt idx="13">
                        <c:v>95</c:v>
                      </c:pt>
                      <c:pt idx="14">
                        <c:v>90</c:v>
                      </c:pt>
                      <c:pt idx="15">
                        <c:v>190</c:v>
                      </c:pt>
                      <c:pt idx="16">
                        <c:v>55</c:v>
                      </c:pt>
                      <c:pt idx="17">
                        <c:v>85</c:v>
                      </c:pt>
                      <c:pt idx="18">
                        <c:v>110</c:v>
                      </c:pt>
                      <c:pt idx="19">
                        <c:v>105</c:v>
                      </c:pt>
                      <c:pt idx="20">
                        <c:v>115</c:v>
                      </c:pt>
                      <c:pt idx="21">
                        <c:v>110</c:v>
                      </c:pt>
                      <c:pt idx="22">
                        <c:v>125</c:v>
                      </c:pt>
                      <c:pt idx="23">
                        <c:v>30</c:v>
                      </c:pt>
                      <c:pt idx="24">
                        <c:v>110</c:v>
                      </c:pt>
                      <c:pt idx="25">
                        <c:v>35</c:v>
                      </c:pt>
                      <c:pt idx="26">
                        <c:v>100</c:v>
                      </c:pt>
                      <c:pt idx="27">
                        <c:v>95</c:v>
                      </c:pt>
                      <c:pt idx="28">
                        <c:v>80</c:v>
                      </c:pt>
                      <c:pt idx="29">
                        <c:v>30</c:v>
                      </c:pt>
                      <c:pt idx="30">
                        <c:v>45</c:v>
                      </c:pt>
                      <c:pt idx="31">
                        <c:v>25</c:v>
                      </c:pt>
                      <c:pt idx="32">
                        <c:v>190</c:v>
                      </c:pt>
                      <c:pt idx="33">
                        <c:v>200</c:v>
                      </c:pt>
                      <c:pt idx="34">
                        <c:v>130</c:v>
                      </c:pt>
                      <c:pt idx="35">
                        <c:v>35</c:v>
                      </c:pt>
                      <c:pt idx="36">
                        <c:v>160</c:v>
                      </c:pt>
                      <c:pt idx="37">
                        <c:v>105</c:v>
                      </c:pt>
                      <c:pt idx="38">
                        <c:v>90</c:v>
                      </c:pt>
                      <c:pt idx="39">
                        <c:v>140</c:v>
                      </c:pt>
                      <c:pt idx="40">
                        <c:v>240</c:v>
                      </c:pt>
                      <c:pt idx="41">
                        <c:v>40</c:v>
                      </c:pt>
                      <c:pt idx="42">
                        <c:v>60</c:v>
                      </c:pt>
                      <c:pt idx="43">
                        <c:v>35</c:v>
                      </c:pt>
                      <c:pt idx="44">
                        <c:v>260</c:v>
                      </c:pt>
                      <c:pt idx="45">
                        <c:v>170</c:v>
                      </c:pt>
                      <c:pt idx="46">
                        <c:v>100</c:v>
                      </c:pt>
                      <c:pt idx="47">
                        <c:v>60</c:v>
                      </c:pt>
                      <c:pt idx="48">
                        <c:v>95</c:v>
                      </c:pt>
                      <c:pt idx="49">
                        <c:v>60</c:v>
                      </c:pt>
                      <c:pt idx="50">
                        <c:v>120</c:v>
                      </c:pt>
                      <c:pt idx="51">
                        <c:v>20</c:v>
                      </c:pt>
                      <c:pt idx="52">
                        <c:v>40</c:v>
                      </c:pt>
                      <c:pt idx="53">
                        <c:v>-1</c:v>
                      </c:pt>
                      <c:pt idx="54">
                        <c:v>170</c:v>
                      </c:pt>
                      <c:pt idx="55">
                        <c:v>135</c:v>
                      </c:pt>
                      <c:pt idx="56">
                        <c:v>30</c:v>
                      </c:pt>
                      <c:pt idx="57">
                        <c:v>30</c:v>
                      </c:pt>
                      <c:pt idx="58">
                        <c:v>25</c:v>
                      </c:pt>
                      <c:pt idx="59">
                        <c:v>40</c:v>
                      </c:pt>
                      <c:pt idx="60">
                        <c:v>90</c:v>
                      </c:pt>
                      <c:pt idx="61">
                        <c:v>120</c:v>
                      </c:pt>
                      <c:pt idx="62">
                        <c:v>160</c:v>
                      </c:pt>
                      <c:pt idx="63">
                        <c:v>40</c:v>
                      </c:pt>
                      <c:pt idx="64">
                        <c:v>70</c:v>
                      </c:pt>
                      <c:pt idx="65">
                        <c:v>35</c:v>
                      </c:pt>
                      <c:pt idx="66">
                        <c:v>230</c:v>
                      </c:pt>
                      <c:pt idx="67">
                        <c:v>25</c:v>
                      </c:pt>
                      <c:pt idx="68">
                        <c:v>25</c:v>
                      </c:pt>
                      <c:pt idx="69">
                        <c:v>55</c:v>
                      </c:pt>
                      <c:pt idx="70">
                        <c:v>45</c:v>
                      </c:pt>
                      <c:pt idx="71">
                        <c:v>55</c:v>
                      </c:pt>
                      <c:pt idx="72">
                        <c:v>65</c:v>
                      </c:pt>
                      <c:pt idx="73">
                        <c:v>45</c:v>
                      </c:pt>
                      <c:pt idx="74">
                        <c:v>45</c:v>
                      </c:pt>
                      <c:pt idx="75">
                        <c:v>35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2B5-4C71-9443-BD88AE2DA6D7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cereal!$L$1</c15:sqref>
                        </c15:formulaRef>
                      </c:ext>
                    </c:extLst>
                    <c:strCache>
                      <c:ptCount val="1"/>
                      <c:pt idx="0">
                        <c:v>vitamins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 cap="rnd">
                      <a:solidFill>
                        <a:schemeClr val="accent1">
                          <a:lumMod val="60000"/>
                        </a:schemeClr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cereal!$H$2:$H$77</c15:sqref>
                        </c15:formulaRef>
                      </c:ext>
                    </c:extLst>
                    <c:numCache>
                      <c:formatCode>General</c:formatCode>
                      <c:ptCount val="76"/>
                      <c:pt idx="0">
                        <c:v>14</c:v>
                      </c:pt>
                      <c:pt idx="1">
                        <c:v>4</c:v>
                      </c:pt>
                      <c:pt idx="2">
                        <c:v>3</c:v>
                      </c:pt>
                      <c:pt idx="3">
                        <c:v>10</c:v>
                      </c:pt>
                      <c:pt idx="4">
                        <c:v>3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0</c:v>
                      </c:pt>
                      <c:pt idx="8">
                        <c:v>3</c:v>
                      </c:pt>
                      <c:pt idx="9">
                        <c:v>9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2</c:v>
                      </c:pt>
                      <c:pt idx="13">
                        <c:v>0</c:v>
                      </c:pt>
                      <c:pt idx="14">
                        <c:v>3</c:v>
                      </c:pt>
                      <c:pt idx="15">
                        <c:v>5</c:v>
                      </c:pt>
                      <c:pt idx="16">
                        <c:v>1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2</c:v>
                      </c:pt>
                      <c:pt idx="20">
                        <c:v>3</c:v>
                      </c:pt>
                      <c:pt idx="21">
                        <c:v>2</c:v>
                      </c:pt>
                      <c:pt idx="22">
                        <c:v>4</c:v>
                      </c:pt>
                      <c:pt idx="23">
                        <c:v>1</c:v>
                      </c:pt>
                      <c:pt idx="24">
                        <c:v>3</c:v>
                      </c:pt>
                      <c:pt idx="25">
                        <c:v>1</c:v>
                      </c:pt>
                      <c:pt idx="26">
                        <c:v>3</c:v>
                      </c:pt>
                      <c:pt idx="27">
                        <c:v>2</c:v>
                      </c:pt>
                      <c:pt idx="28">
                        <c:v>1</c:v>
                      </c:pt>
                      <c:pt idx="29">
                        <c:v>0</c:v>
                      </c:pt>
                      <c:pt idx="30">
                        <c:v>1</c:v>
                      </c:pt>
                      <c:pt idx="31">
                        <c:v>0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3</c:v>
                      </c:pt>
                      <c:pt idx="35">
                        <c:v>0</c:v>
                      </c:pt>
                      <c:pt idx="36">
                        <c:v>4</c:v>
                      </c:pt>
                      <c:pt idx="37">
                        <c:v>2</c:v>
                      </c:pt>
                      <c:pt idx="38">
                        <c:v>2</c:v>
                      </c:pt>
                      <c:pt idx="39">
                        <c:v>2.5</c:v>
                      </c:pt>
                      <c:pt idx="40">
                        <c:v>5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6</c:v>
                      </c:pt>
                      <c:pt idx="45">
                        <c:v>3</c:v>
                      </c:pt>
                      <c:pt idx="46">
                        <c:v>2</c:v>
                      </c:pt>
                      <c:pt idx="47">
                        <c:v>1</c:v>
                      </c:pt>
                      <c:pt idx="48">
                        <c:v>2</c:v>
                      </c:pt>
                      <c:pt idx="49">
                        <c:v>1</c:v>
                      </c:pt>
                      <c:pt idx="50">
                        <c:v>2</c:v>
                      </c:pt>
                      <c:pt idx="51">
                        <c:v>1</c:v>
                      </c:pt>
                      <c:pt idx="52">
                        <c:v>0</c:v>
                      </c:pt>
                      <c:pt idx="53">
                        <c:v>1</c:v>
                      </c:pt>
                      <c:pt idx="54">
                        <c:v>3</c:v>
                      </c:pt>
                      <c:pt idx="55">
                        <c:v>2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1.5</c:v>
                      </c:pt>
                      <c:pt idx="61">
                        <c:v>1.5</c:v>
                      </c:pt>
                      <c:pt idx="62">
                        <c:v>3</c:v>
                      </c:pt>
                      <c:pt idx="63">
                        <c:v>0</c:v>
                      </c:pt>
                      <c:pt idx="64">
                        <c:v>1.5</c:v>
                      </c:pt>
                      <c:pt idx="65">
                        <c:v>0</c:v>
                      </c:pt>
                      <c:pt idx="66">
                        <c:v>4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1</c:v>
                      </c:pt>
                      <c:pt idx="74">
                        <c:v>0</c:v>
                      </c:pt>
                      <c:pt idx="75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cereal!$L$2:$L$77</c15:sqref>
                        </c15:formulaRef>
                      </c:ext>
                    </c:extLst>
                    <c:numCache>
                      <c:formatCode>General</c:formatCode>
                      <c:ptCount val="76"/>
                      <c:pt idx="0">
                        <c:v>25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25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25</c:v>
                      </c:pt>
                      <c:pt idx="9">
                        <c:v>25</c:v>
                      </c:pt>
                      <c:pt idx="10">
                        <c:v>25</c:v>
                      </c:pt>
                      <c:pt idx="11">
                        <c:v>25</c:v>
                      </c:pt>
                      <c:pt idx="12">
                        <c:v>25</c:v>
                      </c:pt>
                      <c:pt idx="13">
                        <c:v>25</c:v>
                      </c:pt>
                      <c:pt idx="14">
                        <c:v>25</c:v>
                      </c:pt>
                      <c:pt idx="15">
                        <c:v>25</c:v>
                      </c:pt>
                      <c:pt idx="16">
                        <c:v>25</c:v>
                      </c:pt>
                      <c:pt idx="17">
                        <c:v>25</c:v>
                      </c:pt>
                      <c:pt idx="18">
                        <c:v>25</c:v>
                      </c:pt>
                      <c:pt idx="19">
                        <c:v>25</c:v>
                      </c:pt>
                      <c:pt idx="20">
                        <c:v>25</c:v>
                      </c:pt>
                      <c:pt idx="21">
                        <c:v>25</c:v>
                      </c:pt>
                      <c:pt idx="22">
                        <c:v>25</c:v>
                      </c:pt>
                      <c:pt idx="23">
                        <c:v>25</c:v>
                      </c:pt>
                      <c:pt idx="24">
                        <c:v>100</c:v>
                      </c:pt>
                      <c:pt idx="25">
                        <c:v>25</c:v>
                      </c:pt>
                      <c:pt idx="26">
                        <c:v>25</c:v>
                      </c:pt>
                      <c:pt idx="27">
                        <c:v>25</c:v>
                      </c:pt>
                      <c:pt idx="28">
                        <c:v>25</c:v>
                      </c:pt>
                      <c:pt idx="29">
                        <c:v>25</c:v>
                      </c:pt>
                      <c:pt idx="30">
                        <c:v>100</c:v>
                      </c:pt>
                      <c:pt idx="31">
                        <c:v>25</c:v>
                      </c:pt>
                      <c:pt idx="32">
                        <c:v>25</c:v>
                      </c:pt>
                      <c:pt idx="33">
                        <c:v>25</c:v>
                      </c:pt>
                      <c:pt idx="34">
                        <c:v>25</c:v>
                      </c:pt>
                      <c:pt idx="35">
                        <c:v>25</c:v>
                      </c:pt>
                      <c:pt idx="36">
                        <c:v>25</c:v>
                      </c:pt>
                      <c:pt idx="37">
                        <c:v>25</c:v>
                      </c:pt>
                      <c:pt idx="38">
                        <c:v>25</c:v>
                      </c:pt>
                      <c:pt idx="39">
                        <c:v>25</c:v>
                      </c:pt>
                      <c:pt idx="40">
                        <c:v>25</c:v>
                      </c:pt>
                      <c:pt idx="41">
                        <c:v>25</c:v>
                      </c:pt>
                      <c:pt idx="42">
                        <c:v>25</c:v>
                      </c:pt>
                      <c:pt idx="43">
                        <c:v>100</c:v>
                      </c:pt>
                      <c:pt idx="44">
                        <c:v>25</c:v>
                      </c:pt>
                      <c:pt idx="45">
                        <c:v>25</c:v>
                      </c:pt>
                      <c:pt idx="46">
                        <c:v>25</c:v>
                      </c:pt>
                      <c:pt idx="47">
                        <c:v>100</c:v>
                      </c:pt>
                      <c:pt idx="48">
                        <c:v>100</c:v>
                      </c:pt>
                      <c:pt idx="49">
                        <c:v>25</c:v>
                      </c:pt>
                      <c:pt idx="50">
                        <c:v>25</c:v>
                      </c:pt>
                      <c:pt idx="51">
                        <c:v>25</c:v>
                      </c:pt>
                      <c:pt idx="52">
                        <c:v>25</c:v>
                      </c:pt>
                      <c:pt idx="53">
                        <c:v>25</c:v>
                      </c:pt>
                      <c:pt idx="54">
                        <c:v>25</c:v>
                      </c:pt>
                      <c:pt idx="55">
                        <c:v>0</c:v>
                      </c:pt>
                      <c:pt idx="56">
                        <c:v>25</c:v>
                      </c:pt>
                      <c:pt idx="57">
                        <c:v>25</c:v>
                      </c:pt>
                      <c:pt idx="58">
                        <c:v>25</c:v>
                      </c:pt>
                      <c:pt idx="59">
                        <c:v>25</c:v>
                      </c:pt>
                      <c:pt idx="60">
                        <c:v>25</c:v>
                      </c:pt>
                      <c:pt idx="61">
                        <c:v>25</c:v>
                      </c:pt>
                      <c:pt idx="62">
                        <c:v>25</c:v>
                      </c:pt>
                      <c:pt idx="63">
                        <c:v>25</c:v>
                      </c:pt>
                      <c:pt idx="64">
                        <c:v>25</c:v>
                      </c:pt>
                      <c:pt idx="65">
                        <c:v>25</c:v>
                      </c:pt>
                      <c:pt idx="66">
                        <c:v>100</c:v>
                      </c:pt>
                      <c:pt idx="67">
                        <c:v>25</c:v>
                      </c:pt>
                      <c:pt idx="68">
                        <c:v>25</c:v>
                      </c:pt>
                      <c:pt idx="69">
                        <c:v>25</c:v>
                      </c:pt>
                      <c:pt idx="70">
                        <c:v>25</c:v>
                      </c:pt>
                      <c:pt idx="71">
                        <c:v>25</c:v>
                      </c:pt>
                      <c:pt idx="72">
                        <c:v>25</c:v>
                      </c:pt>
                      <c:pt idx="73">
                        <c:v>25</c:v>
                      </c:pt>
                      <c:pt idx="74">
                        <c:v>25</c:v>
                      </c:pt>
                      <c:pt idx="75">
                        <c:v>25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2B5-4C71-9443-BD88AE2DA6D7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cereal!$M$1</c15:sqref>
                        </c15:formulaRef>
                      </c:ext>
                    </c:extLst>
                    <c:strCache>
                      <c:ptCount val="1"/>
                      <c:pt idx="0">
                        <c:v>shelf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3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 cap="rnd">
                      <a:solidFill>
                        <a:schemeClr val="accent3">
                          <a:lumMod val="60000"/>
                        </a:schemeClr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cereal!$H$2:$H$77</c15:sqref>
                        </c15:formulaRef>
                      </c:ext>
                    </c:extLst>
                    <c:numCache>
                      <c:formatCode>General</c:formatCode>
                      <c:ptCount val="76"/>
                      <c:pt idx="0">
                        <c:v>14</c:v>
                      </c:pt>
                      <c:pt idx="1">
                        <c:v>4</c:v>
                      </c:pt>
                      <c:pt idx="2">
                        <c:v>3</c:v>
                      </c:pt>
                      <c:pt idx="3">
                        <c:v>10</c:v>
                      </c:pt>
                      <c:pt idx="4">
                        <c:v>3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0</c:v>
                      </c:pt>
                      <c:pt idx="8">
                        <c:v>3</c:v>
                      </c:pt>
                      <c:pt idx="9">
                        <c:v>9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2</c:v>
                      </c:pt>
                      <c:pt idx="13">
                        <c:v>0</c:v>
                      </c:pt>
                      <c:pt idx="14">
                        <c:v>3</c:v>
                      </c:pt>
                      <c:pt idx="15">
                        <c:v>5</c:v>
                      </c:pt>
                      <c:pt idx="16">
                        <c:v>1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2</c:v>
                      </c:pt>
                      <c:pt idx="20">
                        <c:v>3</c:v>
                      </c:pt>
                      <c:pt idx="21">
                        <c:v>2</c:v>
                      </c:pt>
                      <c:pt idx="22">
                        <c:v>4</c:v>
                      </c:pt>
                      <c:pt idx="23">
                        <c:v>1</c:v>
                      </c:pt>
                      <c:pt idx="24">
                        <c:v>3</c:v>
                      </c:pt>
                      <c:pt idx="25">
                        <c:v>1</c:v>
                      </c:pt>
                      <c:pt idx="26">
                        <c:v>3</c:v>
                      </c:pt>
                      <c:pt idx="27">
                        <c:v>2</c:v>
                      </c:pt>
                      <c:pt idx="28">
                        <c:v>1</c:v>
                      </c:pt>
                      <c:pt idx="29">
                        <c:v>0</c:v>
                      </c:pt>
                      <c:pt idx="30">
                        <c:v>1</c:v>
                      </c:pt>
                      <c:pt idx="31">
                        <c:v>0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3</c:v>
                      </c:pt>
                      <c:pt idx="35">
                        <c:v>0</c:v>
                      </c:pt>
                      <c:pt idx="36">
                        <c:v>4</c:v>
                      </c:pt>
                      <c:pt idx="37">
                        <c:v>2</c:v>
                      </c:pt>
                      <c:pt idx="38">
                        <c:v>2</c:v>
                      </c:pt>
                      <c:pt idx="39">
                        <c:v>2.5</c:v>
                      </c:pt>
                      <c:pt idx="40">
                        <c:v>5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6</c:v>
                      </c:pt>
                      <c:pt idx="45">
                        <c:v>3</c:v>
                      </c:pt>
                      <c:pt idx="46">
                        <c:v>2</c:v>
                      </c:pt>
                      <c:pt idx="47">
                        <c:v>1</c:v>
                      </c:pt>
                      <c:pt idx="48">
                        <c:v>2</c:v>
                      </c:pt>
                      <c:pt idx="49">
                        <c:v>1</c:v>
                      </c:pt>
                      <c:pt idx="50">
                        <c:v>2</c:v>
                      </c:pt>
                      <c:pt idx="51">
                        <c:v>1</c:v>
                      </c:pt>
                      <c:pt idx="52">
                        <c:v>0</c:v>
                      </c:pt>
                      <c:pt idx="53">
                        <c:v>1</c:v>
                      </c:pt>
                      <c:pt idx="54">
                        <c:v>3</c:v>
                      </c:pt>
                      <c:pt idx="55">
                        <c:v>2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1.5</c:v>
                      </c:pt>
                      <c:pt idx="61">
                        <c:v>1.5</c:v>
                      </c:pt>
                      <c:pt idx="62">
                        <c:v>3</c:v>
                      </c:pt>
                      <c:pt idx="63">
                        <c:v>0</c:v>
                      </c:pt>
                      <c:pt idx="64">
                        <c:v>1.5</c:v>
                      </c:pt>
                      <c:pt idx="65">
                        <c:v>0</c:v>
                      </c:pt>
                      <c:pt idx="66">
                        <c:v>4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1</c:v>
                      </c:pt>
                      <c:pt idx="74">
                        <c:v>0</c:v>
                      </c:pt>
                      <c:pt idx="75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cereal!$M$2:$M$77</c15:sqref>
                        </c15:formulaRef>
                      </c:ext>
                    </c:extLst>
                    <c:numCache>
                      <c:formatCode>General</c:formatCode>
                      <c:ptCount val="76"/>
                      <c:pt idx="0">
                        <c:v>3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3</c:v>
                      </c:pt>
                      <c:pt idx="4">
                        <c:v>1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3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1</c:v>
                      </c:pt>
                      <c:pt idx="17">
                        <c:v>3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3</c:v>
                      </c:pt>
                      <c:pt idx="22">
                        <c:v>1</c:v>
                      </c:pt>
                      <c:pt idx="23">
                        <c:v>3</c:v>
                      </c:pt>
                      <c:pt idx="24">
                        <c:v>3</c:v>
                      </c:pt>
                      <c:pt idx="25">
                        <c:v>1</c:v>
                      </c:pt>
                      <c:pt idx="26">
                        <c:v>3</c:v>
                      </c:pt>
                      <c:pt idx="27">
                        <c:v>2</c:v>
                      </c:pt>
                      <c:pt idx="28">
                        <c:v>3</c:v>
                      </c:pt>
                      <c:pt idx="29">
                        <c:v>1</c:v>
                      </c:pt>
                      <c:pt idx="30">
                        <c:v>3</c:v>
                      </c:pt>
                      <c:pt idx="31">
                        <c:v>1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1</c:v>
                      </c:pt>
                      <c:pt idx="36">
                        <c:v>3</c:v>
                      </c:pt>
                      <c:pt idx="37">
                        <c:v>3</c:v>
                      </c:pt>
                      <c:pt idx="38">
                        <c:v>1</c:v>
                      </c:pt>
                      <c:pt idx="39">
                        <c:v>3</c:v>
                      </c:pt>
                      <c:pt idx="40">
                        <c:v>2</c:v>
                      </c:pt>
                      <c:pt idx="41">
                        <c:v>2</c:v>
                      </c:pt>
                      <c:pt idx="42">
                        <c:v>3</c:v>
                      </c:pt>
                      <c:pt idx="43">
                        <c:v>3</c:v>
                      </c:pt>
                      <c:pt idx="44">
                        <c:v>3</c:v>
                      </c:pt>
                      <c:pt idx="45">
                        <c:v>3</c:v>
                      </c:pt>
                      <c:pt idx="46">
                        <c:v>3</c:v>
                      </c:pt>
                      <c:pt idx="47">
                        <c:v>3</c:v>
                      </c:pt>
                      <c:pt idx="48">
                        <c:v>3</c:v>
                      </c:pt>
                      <c:pt idx="49">
                        <c:v>1</c:v>
                      </c:pt>
                      <c:pt idx="50">
                        <c:v>3</c:v>
                      </c:pt>
                      <c:pt idx="51">
                        <c:v>2</c:v>
                      </c:pt>
                      <c:pt idx="52">
                        <c:v>1</c:v>
                      </c:pt>
                      <c:pt idx="53">
                        <c:v>3</c:v>
                      </c:pt>
                      <c:pt idx="54">
                        <c:v>3</c:v>
                      </c:pt>
                      <c:pt idx="55">
                        <c:v>3</c:v>
                      </c:pt>
                      <c:pt idx="56">
                        <c:v>2</c:v>
                      </c:pt>
                      <c:pt idx="57">
                        <c:v>2</c:v>
                      </c:pt>
                      <c:pt idx="58">
                        <c:v>1</c:v>
                      </c:pt>
                      <c:pt idx="59">
                        <c:v>2</c:v>
                      </c:pt>
                      <c:pt idx="60">
                        <c:v>1</c:v>
                      </c:pt>
                      <c:pt idx="61">
                        <c:v>3</c:v>
                      </c:pt>
                      <c:pt idx="62">
                        <c:v>3</c:v>
                      </c:pt>
                      <c:pt idx="63">
                        <c:v>2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3</c:v>
                      </c:pt>
                      <c:pt idx="67">
                        <c:v>2</c:v>
                      </c:pt>
                      <c:pt idx="68">
                        <c:v>2</c:v>
                      </c:pt>
                      <c:pt idx="69">
                        <c:v>2</c:v>
                      </c:pt>
                      <c:pt idx="70">
                        <c:v>2</c:v>
                      </c:pt>
                      <c:pt idx="71">
                        <c:v>2</c:v>
                      </c:pt>
                      <c:pt idx="72">
                        <c:v>2</c:v>
                      </c:pt>
                      <c:pt idx="73">
                        <c:v>2</c:v>
                      </c:pt>
                      <c:pt idx="74">
                        <c:v>2</c:v>
                      </c:pt>
                      <c:pt idx="75">
                        <c:v>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2B5-4C71-9443-BD88AE2DA6D7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cereal!$N$1</c15:sqref>
                        </c15:formulaRef>
                      </c:ext>
                    </c:extLst>
                    <c:strCache>
                      <c:ptCount val="1"/>
                      <c:pt idx="0">
                        <c:v>weight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5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 cap="rnd">
                      <a:solidFill>
                        <a:schemeClr val="accent5">
                          <a:lumMod val="60000"/>
                        </a:schemeClr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cereal!$H$2:$H$77</c15:sqref>
                        </c15:formulaRef>
                      </c:ext>
                    </c:extLst>
                    <c:numCache>
                      <c:formatCode>General</c:formatCode>
                      <c:ptCount val="76"/>
                      <c:pt idx="0">
                        <c:v>14</c:v>
                      </c:pt>
                      <c:pt idx="1">
                        <c:v>4</c:v>
                      </c:pt>
                      <c:pt idx="2">
                        <c:v>3</c:v>
                      </c:pt>
                      <c:pt idx="3">
                        <c:v>10</c:v>
                      </c:pt>
                      <c:pt idx="4">
                        <c:v>3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0</c:v>
                      </c:pt>
                      <c:pt idx="8">
                        <c:v>3</c:v>
                      </c:pt>
                      <c:pt idx="9">
                        <c:v>9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2</c:v>
                      </c:pt>
                      <c:pt idx="13">
                        <c:v>0</c:v>
                      </c:pt>
                      <c:pt idx="14">
                        <c:v>3</c:v>
                      </c:pt>
                      <c:pt idx="15">
                        <c:v>5</c:v>
                      </c:pt>
                      <c:pt idx="16">
                        <c:v>1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2</c:v>
                      </c:pt>
                      <c:pt idx="20">
                        <c:v>3</c:v>
                      </c:pt>
                      <c:pt idx="21">
                        <c:v>2</c:v>
                      </c:pt>
                      <c:pt idx="22">
                        <c:v>4</c:v>
                      </c:pt>
                      <c:pt idx="23">
                        <c:v>1</c:v>
                      </c:pt>
                      <c:pt idx="24">
                        <c:v>3</c:v>
                      </c:pt>
                      <c:pt idx="25">
                        <c:v>1</c:v>
                      </c:pt>
                      <c:pt idx="26">
                        <c:v>3</c:v>
                      </c:pt>
                      <c:pt idx="27">
                        <c:v>2</c:v>
                      </c:pt>
                      <c:pt idx="28">
                        <c:v>1</c:v>
                      </c:pt>
                      <c:pt idx="29">
                        <c:v>0</c:v>
                      </c:pt>
                      <c:pt idx="30">
                        <c:v>1</c:v>
                      </c:pt>
                      <c:pt idx="31">
                        <c:v>0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3</c:v>
                      </c:pt>
                      <c:pt idx="35">
                        <c:v>0</c:v>
                      </c:pt>
                      <c:pt idx="36">
                        <c:v>4</c:v>
                      </c:pt>
                      <c:pt idx="37">
                        <c:v>2</c:v>
                      </c:pt>
                      <c:pt idx="38">
                        <c:v>2</c:v>
                      </c:pt>
                      <c:pt idx="39">
                        <c:v>2.5</c:v>
                      </c:pt>
                      <c:pt idx="40">
                        <c:v>5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6</c:v>
                      </c:pt>
                      <c:pt idx="45">
                        <c:v>3</c:v>
                      </c:pt>
                      <c:pt idx="46">
                        <c:v>2</c:v>
                      </c:pt>
                      <c:pt idx="47">
                        <c:v>1</c:v>
                      </c:pt>
                      <c:pt idx="48">
                        <c:v>2</c:v>
                      </c:pt>
                      <c:pt idx="49">
                        <c:v>1</c:v>
                      </c:pt>
                      <c:pt idx="50">
                        <c:v>2</c:v>
                      </c:pt>
                      <c:pt idx="51">
                        <c:v>1</c:v>
                      </c:pt>
                      <c:pt idx="52">
                        <c:v>0</c:v>
                      </c:pt>
                      <c:pt idx="53">
                        <c:v>1</c:v>
                      </c:pt>
                      <c:pt idx="54">
                        <c:v>3</c:v>
                      </c:pt>
                      <c:pt idx="55">
                        <c:v>2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1.5</c:v>
                      </c:pt>
                      <c:pt idx="61">
                        <c:v>1.5</c:v>
                      </c:pt>
                      <c:pt idx="62">
                        <c:v>3</c:v>
                      </c:pt>
                      <c:pt idx="63">
                        <c:v>0</c:v>
                      </c:pt>
                      <c:pt idx="64">
                        <c:v>1.5</c:v>
                      </c:pt>
                      <c:pt idx="65">
                        <c:v>0</c:v>
                      </c:pt>
                      <c:pt idx="66">
                        <c:v>4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1</c:v>
                      </c:pt>
                      <c:pt idx="74">
                        <c:v>0</c:v>
                      </c:pt>
                      <c:pt idx="75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cereal!$N$2:$N$77</c15:sqref>
                        </c15:formulaRef>
                      </c:ext>
                    </c:extLst>
                    <c:numCache>
                      <c:formatCode>General</c:formatCode>
                      <c:ptCount val="76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0.83</c:v>
                      </c:pt>
                      <c:pt idx="5">
                        <c:v>1</c:v>
                      </c:pt>
                      <c:pt idx="6">
                        <c:v>0.5</c:v>
                      </c:pt>
                      <c:pt idx="7">
                        <c:v>0.5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1.33</c:v>
                      </c:pt>
                      <c:pt idx="33">
                        <c:v>1.25</c:v>
                      </c:pt>
                      <c:pt idx="34">
                        <c:v>1.33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1.33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1.33</c:v>
                      </c:pt>
                      <c:pt idx="45">
                        <c:v>1</c:v>
                      </c:pt>
                      <c:pt idx="46">
                        <c:v>1.33</c:v>
                      </c:pt>
                      <c:pt idx="47">
                        <c:v>1</c:v>
                      </c:pt>
                      <c:pt idx="48">
                        <c:v>1.3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1.25</c:v>
                      </c:pt>
                      <c:pt idx="62">
                        <c:v>1.5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1.5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2B5-4C71-9443-BD88AE2DA6D7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cereal!$O$1</c15:sqref>
                        </c15:formulaRef>
                      </c:ext>
                    </c:extLst>
                    <c:strCache>
                      <c:ptCount val="1"/>
                      <c:pt idx="0">
                        <c:v>cups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1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 cap="rnd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cereal!$H$2:$H$77</c15:sqref>
                        </c15:formulaRef>
                      </c:ext>
                    </c:extLst>
                    <c:numCache>
                      <c:formatCode>General</c:formatCode>
                      <c:ptCount val="76"/>
                      <c:pt idx="0">
                        <c:v>14</c:v>
                      </c:pt>
                      <c:pt idx="1">
                        <c:v>4</c:v>
                      </c:pt>
                      <c:pt idx="2">
                        <c:v>3</c:v>
                      </c:pt>
                      <c:pt idx="3">
                        <c:v>10</c:v>
                      </c:pt>
                      <c:pt idx="4">
                        <c:v>3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0</c:v>
                      </c:pt>
                      <c:pt idx="8">
                        <c:v>3</c:v>
                      </c:pt>
                      <c:pt idx="9">
                        <c:v>9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2</c:v>
                      </c:pt>
                      <c:pt idx="13">
                        <c:v>0</c:v>
                      </c:pt>
                      <c:pt idx="14">
                        <c:v>3</c:v>
                      </c:pt>
                      <c:pt idx="15">
                        <c:v>5</c:v>
                      </c:pt>
                      <c:pt idx="16">
                        <c:v>1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2</c:v>
                      </c:pt>
                      <c:pt idx="20">
                        <c:v>3</c:v>
                      </c:pt>
                      <c:pt idx="21">
                        <c:v>2</c:v>
                      </c:pt>
                      <c:pt idx="22">
                        <c:v>4</c:v>
                      </c:pt>
                      <c:pt idx="23">
                        <c:v>1</c:v>
                      </c:pt>
                      <c:pt idx="24">
                        <c:v>3</c:v>
                      </c:pt>
                      <c:pt idx="25">
                        <c:v>1</c:v>
                      </c:pt>
                      <c:pt idx="26">
                        <c:v>3</c:v>
                      </c:pt>
                      <c:pt idx="27">
                        <c:v>2</c:v>
                      </c:pt>
                      <c:pt idx="28">
                        <c:v>1</c:v>
                      </c:pt>
                      <c:pt idx="29">
                        <c:v>0</c:v>
                      </c:pt>
                      <c:pt idx="30">
                        <c:v>1</c:v>
                      </c:pt>
                      <c:pt idx="31">
                        <c:v>0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3</c:v>
                      </c:pt>
                      <c:pt idx="35">
                        <c:v>0</c:v>
                      </c:pt>
                      <c:pt idx="36">
                        <c:v>4</c:v>
                      </c:pt>
                      <c:pt idx="37">
                        <c:v>2</c:v>
                      </c:pt>
                      <c:pt idx="38">
                        <c:v>2</c:v>
                      </c:pt>
                      <c:pt idx="39">
                        <c:v>2.5</c:v>
                      </c:pt>
                      <c:pt idx="40">
                        <c:v>5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6</c:v>
                      </c:pt>
                      <c:pt idx="45">
                        <c:v>3</c:v>
                      </c:pt>
                      <c:pt idx="46">
                        <c:v>2</c:v>
                      </c:pt>
                      <c:pt idx="47">
                        <c:v>1</c:v>
                      </c:pt>
                      <c:pt idx="48">
                        <c:v>2</c:v>
                      </c:pt>
                      <c:pt idx="49">
                        <c:v>1</c:v>
                      </c:pt>
                      <c:pt idx="50">
                        <c:v>2</c:v>
                      </c:pt>
                      <c:pt idx="51">
                        <c:v>1</c:v>
                      </c:pt>
                      <c:pt idx="52">
                        <c:v>0</c:v>
                      </c:pt>
                      <c:pt idx="53">
                        <c:v>1</c:v>
                      </c:pt>
                      <c:pt idx="54">
                        <c:v>3</c:v>
                      </c:pt>
                      <c:pt idx="55">
                        <c:v>2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1.5</c:v>
                      </c:pt>
                      <c:pt idx="61">
                        <c:v>1.5</c:v>
                      </c:pt>
                      <c:pt idx="62">
                        <c:v>3</c:v>
                      </c:pt>
                      <c:pt idx="63">
                        <c:v>0</c:v>
                      </c:pt>
                      <c:pt idx="64">
                        <c:v>1.5</c:v>
                      </c:pt>
                      <c:pt idx="65">
                        <c:v>0</c:v>
                      </c:pt>
                      <c:pt idx="66">
                        <c:v>4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1</c:v>
                      </c:pt>
                      <c:pt idx="74">
                        <c:v>0</c:v>
                      </c:pt>
                      <c:pt idx="75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cereal!$O$2:$O$77</c15:sqref>
                        </c15:formulaRef>
                      </c:ext>
                    </c:extLst>
                    <c:numCache>
                      <c:formatCode>General</c:formatCode>
                      <c:ptCount val="76"/>
                      <c:pt idx="0">
                        <c:v>0.5</c:v>
                      </c:pt>
                      <c:pt idx="1">
                        <c:v>0.67</c:v>
                      </c:pt>
                      <c:pt idx="2">
                        <c:v>0.67</c:v>
                      </c:pt>
                      <c:pt idx="3">
                        <c:v>0.33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0.33</c:v>
                      </c:pt>
                      <c:pt idx="10">
                        <c:v>1</c:v>
                      </c:pt>
                      <c:pt idx="11">
                        <c:v>0.8</c:v>
                      </c:pt>
                      <c:pt idx="12">
                        <c:v>0.5</c:v>
                      </c:pt>
                      <c:pt idx="13">
                        <c:v>1</c:v>
                      </c:pt>
                      <c:pt idx="14">
                        <c:v>0.25</c:v>
                      </c:pt>
                      <c:pt idx="15">
                        <c:v>0.67</c:v>
                      </c:pt>
                      <c:pt idx="16">
                        <c:v>1</c:v>
                      </c:pt>
                      <c:pt idx="17">
                        <c:v>0.88</c:v>
                      </c:pt>
                      <c:pt idx="18">
                        <c:v>1</c:v>
                      </c:pt>
                      <c:pt idx="19">
                        <c:v>1.25</c:v>
                      </c:pt>
                      <c:pt idx="20">
                        <c:v>0.67</c:v>
                      </c:pt>
                      <c:pt idx="21">
                        <c:v>0.5</c:v>
                      </c:pt>
                      <c:pt idx="22">
                        <c:v>0.67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0.33</c:v>
                      </c:pt>
                      <c:pt idx="27">
                        <c:v>0.67</c:v>
                      </c:pt>
                      <c:pt idx="28">
                        <c:v>0.75</c:v>
                      </c:pt>
                      <c:pt idx="29">
                        <c:v>1.1299999999999999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0.67</c:v>
                      </c:pt>
                      <c:pt idx="33">
                        <c:v>0.67</c:v>
                      </c:pt>
                      <c:pt idx="34">
                        <c:v>0.67</c:v>
                      </c:pt>
                      <c:pt idx="35">
                        <c:v>1</c:v>
                      </c:pt>
                      <c:pt idx="36">
                        <c:v>0.5</c:v>
                      </c:pt>
                      <c:pt idx="37">
                        <c:v>0.5</c:v>
                      </c:pt>
                      <c:pt idx="38">
                        <c:v>1</c:v>
                      </c:pt>
                      <c:pt idx="39">
                        <c:v>0.5</c:v>
                      </c:pt>
                      <c:pt idx="40">
                        <c:v>0.75</c:v>
                      </c:pt>
                      <c:pt idx="41">
                        <c:v>1.5</c:v>
                      </c:pt>
                      <c:pt idx="42">
                        <c:v>0.75</c:v>
                      </c:pt>
                      <c:pt idx="43">
                        <c:v>1</c:v>
                      </c:pt>
                      <c:pt idx="44">
                        <c:v>0.67</c:v>
                      </c:pt>
                      <c:pt idx="45">
                        <c:v>1</c:v>
                      </c:pt>
                      <c:pt idx="46">
                        <c:v>0.75</c:v>
                      </c:pt>
                      <c:pt idx="47">
                        <c:v>1</c:v>
                      </c:pt>
                      <c:pt idx="48">
                        <c:v>0.75</c:v>
                      </c:pt>
                      <c:pt idx="49">
                        <c:v>0.75</c:v>
                      </c:pt>
                      <c:pt idx="50">
                        <c:v>0.75</c:v>
                      </c:pt>
                      <c:pt idx="51">
                        <c:v>1</c:v>
                      </c:pt>
                      <c:pt idx="52">
                        <c:v>0.88</c:v>
                      </c:pt>
                      <c:pt idx="53">
                        <c:v>0.75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0.75</c:v>
                      </c:pt>
                      <c:pt idx="59">
                        <c:v>0.75</c:v>
                      </c:pt>
                      <c:pt idx="60">
                        <c:v>0.75</c:v>
                      </c:pt>
                      <c:pt idx="61">
                        <c:v>0.5</c:v>
                      </c:pt>
                      <c:pt idx="62">
                        <c:v>0.67</c:v>
                      </c:pt>
                      <c:pt idx="63">
                        <c:v>0.67</c:v>
                      </c:pt>
                      <c:pt idx="64">
                        <c:v>0.75</c:v>
                      </c:pt>
                      <c:pt idx="65">
                        <c:v>1.33</c:v>
                      </c:pt>
                      <c:pt idx="66">
                        <c:v>1</c:v>
                      </c:pt>
                      <c:pt idx="67">
                        <c:v>0.75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0.75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0.75</c:v>
                      </c:pt>
                      <c:pt idx="75">
                        <c:v>0.75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2B5-4C71-9443-BD88AE2DA6D7}"/>
                  </c:ext>
                </c:extLst>
              </c15:ser>
            </c15:filteredScatterSeries>
          </c:ext>
        </c:extLst>
      </c:scatterChart>
      <c:valAx>
        <c:axId val="1641485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652096"/>
        <c:crosses val="autoZero"/>
        <c:crossBetween val="midCat"/>
      </c:valAx>
      <c:valAx>
        <c:axId val="163565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485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[cereal_analysis.xlsx]Dashboard!PivotTable11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Sugar</a:t>
            </a:r>
            <a:r>
              <a:rPr lang="en-US" baseline="0"/>
              <a:t> Level Vs Rating</a:t>
            </a:r>
            <a:endParaRPr lang="en-US"/>
          </a:p>
        </c:rich>
      </c:tx>
      <c:layout>
        <c:manualLayout>
          <c:xMode val="edge"/>
          <c:yMode val="edge"/>
          <c:x val="0.24913888888888888"/>
          <c:y val="8.69422572178477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Dashboard!$C$21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Dashboard!$B$22:$B$24</c:f>
              <c:strCache>
                <c:ptCount val="2"/>
                <c:pt idx="0">
                  <c:v>High Sugar</c:v>
                </c:pt>
                <c:pt idx="1">
                  <c:v>Low Sugar</c:v>
                </c:pt>
              </c:strCache>
            </c:strRef>
          </c:cat>
          <c:val>
            <c:numRef>
              <c:f>Dashboard!$C$22:$C$24</c:f>
              <c:numCache>
                <c:formatCode>General</c:formatCode>
                <c:ptCount val="2"/>
                <c:pt idx="0">
                  <c:v>30.651622952380951</c:v>
                </c:pt>
                <c:pt idx="1">
                  <c:v>47.104487454545449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F4-4688-8C5A-153E5D445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34279296"/>
        <c:axId val="1737731616"/>
      </c:barChart>
      <c:catAx>
        <c:axId val="16342792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Sugar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731616"/>
        <c:crosses val="autoZero"/>
        <c:auto val="1"/>
        <c:lblAlgn val="ctr"/>
        <c:lblOffset val="100"/>
        <c:noMultiLvlLbl val="0"/>
      </c:catAx>
      <c:valAx>
        <c:axId val="173773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279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[cereal_analysis.xlsx]Pivot!PivotTable1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Fiber Level</a:t>
            </a:r>
            <a:r>
              <a:rPr lang="en-US" baseline="0"/>
              <a:t> Vs Rating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Pivot!$K$15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Pivot!$J$16:$J$18</c:f>
              <c:strCache>
                <c:ptCount val="2"/>
                <c:pt idx="0">
                  <c:v>High Fiber</c:v>
                </c:pt>
                <c:pt idx="1">
                  <c:v>Low Fiber</c:v>
                </c:pt>
              </c:strCache>
            </c:strRef>
          </c:cat>
          <c:val>
            <c:numRef>
              <c:f>Pivot!$K$16:$K$18</c:f>
              <c:numCache>
                <c:formatCode>General</c:formatCode>
                <c:ptCount val="2"/>
                <c:pt idx="0">
                  <c:v>64.843496000000002</c:v>
                </c:pt>
                <c:pt idx="1">
                  <c:v>41.32023483333333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50-4734-8684-FD97D593F7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39510127"/>
        <c:axId val="1402618287"/>
      </c:barChart>
      <c:catAx>
        <c:axId val="15395101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Fiber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618287"/>
        <c:crosses val="autoZero"/>
        <c:auto val="1"/>
        <c:lblAlgn val="ctr"/>
        <c:lblOffset val="100"/>
        <c:noMultiLvlLbl val="0"/>
      </c:catAx>
      <c:valAx>
        <c:axId val="1402618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510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601980</xdr:colOff>
      <xdr:row>3</xdr:row>
      <xdr:rowOff>3810</xdr:rowOff>
    </xdr:from>
    <xdr:to>
      <xdr:col>8</xdr:col>
      <xdr:colOff>297180</xdr:colOff>
      <xdr:row>18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B29C26-489F-49D5-A59E-1DAF4AC0E0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297180</xdr:colOff>
      <xdr:row>3</xdr:row>
      <xdr:rowOff>0</xdr:rowOff>
    </xdr:from>
    <xdr:to>
      <xdr:col>16</xdr:col>
      <xdr:colOff>601980</xdr:colOff>
      <xdr:row>18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DEB484-69BD-4BA9-A17B-FF6D1FB6C3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22860</xdr:colOff>
      <xdr:row>19</xdr:row>
      <xdr:rowOff>179070</xdr:rowOff>
    </xdr:from>
    <xdr:to>
      <xdr:col>10</xdr:col>
      <xdr:colOff>327660</xdr:colOff>
      <xdr:row>34</xdr:row>
      <xdr:rowOff>179070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C66F678-9938-4DAB-B195-FD2D3928FD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541020</xdr:colOff>
      <xdr:row>20</xdr:row>
      <xdr:rowOff>7620</xdr:rowOff>
    </xdr:from>
    <xdr:to>
      <xdr:col>19</xdr:col>
      <xdr:colOff>342900</xdr:colOff>
      <xdr:row>34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49F1398-DE52-44F0-B89E-08EF24380A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50.701342476852" createdVersion="6" refreshedVersion="6" minRefreshableVersion="3" recordCount="76" xr:uid="{00000000-000A-0000-FFFF-FFFF10000000}">
  <cacheSource type="worksheet">
    <worksheetSource ref="A1:R77" sheet="cereal"/>
  </cacheSource>
  <cacheFields count="18">
    <cacheField name="name" numFmtId="0">
      <sharedItems/>
    </cacheField>
    <cacheField name="mfr" numFmtId="0">
      <sharedItems count="7">
        <s v="K"/>
        <s v="N"/>
        <s v="Q"/>
        <s v="A"/>
        <s v="P"/>
        <s v="G"/>
        <s v="R"/>
      </sharedItems>
    </cacheField>
    <cacheField name="type" numFmtId="0">
      <sharedItems/>
    </cacheField>
    <cacheField name="calories" numFmtId="0">
      <sharedItems containsSemiMixedTypes="0" containsString="0" containsNumber="1" containsInteger="1" minValue="50" maxValue="160"/>
    </cacheField>
    <cacheField name="protein" numFmtId="0">
      <sharedItems containsSemiMixedTypes="0" containsString="0" containsNumber="1" containsInteger="1" minValue="1" maxValue="6"/>
    </cacheField>
    <cacheField name="fat" numFmtId="0">
      <sharedItems containsSemiMixedTypes="0" containsString="0" containsNumber="1" containsInteger="1" minValue="0" maxValue="5"/>
    </cacheField>
    <cacheField name="sodium" numFmtId="0">
      <sharedItems containsSemiMixedTypes="0" containsString="0" containsNumber="1" containsInteger="1" minValue="0" maxValue="320"/>
    </cacheField>
    <cacheField name="fiber" numFmtId="0">
      <sharedItems containsSemiMixedTypes="0" containsString="0" containsNumber="1" minValue="0" maxValue="14" count="12">
        <n v="14"/>
        <n v="4"/>
        <n v="3"/>
        <n v="10"/>
        <n v="1"/>
        <n v="0"/>
        <n v="9"/>
        <n v="2"/>
        <n v="5"/>
        <n v="2.5"/>
        <n v="6"/>
        <n v="1.5"/>
      </sharedItems>
    </cacheField>
    <cacheField name="carbo" numFmtId="0">
      <sharedItems containsSemiMixedTypes="0" containsString="0" containsNumber="1" minValue="5" maxValue="23"/>
    </cacheField>
    <cacheField name="sugars" numFmtId="0">
      <sharedItems containsSemiMixedTypes="0" containsString="0" containsNumber="1" containsInteger="1" minValue="0" maxValue="15" count="16">
        <n v="0"/>
        <n v="6"/>
        <n v="2"/>
        <n v="5"/>
        <n v="7"/>
        <n v="3"/>
        <n v="1"/>
        <n v="4"/>
        <n v="12"/>
        <n v="10"/>
        <n v="8"/>
        <n v="14"/>
        <n v="11"/>
        <n v="9"/>
        <n v="15"/>
        <n v="13"/>
      </sharedItems>
    </cacheField>
    <cacheField name="potass" numFmtId="0">
      <sharedItems containsSemiMixedTypes="0" containsString="0" containsNumber="1" containsInteger="1" minValue="-1" maxValue="330"/>
    </cacheField>
    <cacheField name="vitamins" numFmtId="0">
      <sharedItems containsSemiMixedTypes="0" containsString="0" containsNumber="1" containsInteger="1" minValue="0" maxValue="100"/>
    </cacheField>
    <cacheField name="shelf" numFmtId="0">
      <sharedItems containsSemiMixedTypes="0" containsString="0" containsNumber="1" containsInteger="1" minValue="1" maxValue="3"/>
    </cacheField>
    <cacheField name="weight" numFmtId="0">
      <sharedItems containsSemiMixedTypes="0" containsString="0" containsNumber="1" minValue="0.5" maxValue="1.5"/>
    </cacheField>
    <cacheField name="cups" numFmtId="0">
      <sharedItems containsSemiMixedTypes="0" containsString="0" containsNumber="1" minValue="0.25" maxValue="1.5"/>
    </cacheField>
    <cacheField name="rating" numFmtId="0">
      <sharedItems containsSemiMixedTypes="0" containsString="0" containsNumber="1" minValue="18.042850999999999" maxValue="93.704911999999993"/>
    </cacheField>
    <cacheField name="Sugar Level" numFmtId="0">
      <sharedItems count="2">
        <s v="Low Sugar"/>
        <s v="High Sugar"/>
      </sharedItems>
    </cacheField>
    <cacheField name="Health Score" numFmtId="0">
      <sharedItems containsSemiMixedTypes="0" containsString="0" containsNumber="1" minValue="-15" maxValue="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51.584984259258" createdVersion="6" refreshedVersion="6" minRefreshableVersion="3" recordCount="76" xr:uid="{F0FE83E2-BB15-4D97-9795-3B7946046131}">
  <cacheSource type="worksheet">
    <worksheetSource ref="A1:S77" sheet="cereal"/>
  </cacheSource>
  <cacheFields count="19">
    <cacheField name="name" numFmtId="0">
      <sharedItems/>
    </cacheField>
    <cacheField name="mfr" numFmtId="0">
      <sharedItems/>
    </cacheField>
    <cacheField name="type" numFmtId="0">
      <sharedItems/>
    </cacheField>
    <cacheField name="calories" numFmtId="0">
      <sharedItems containsSemiMixedTypes="0" containsString="0" containsNumber="1" containsInteger="1" minValue="50" maxValue="160" count="11">
        <n v="50"/>
        <n v="90"/>
        <n v="70"/>
        <n v="80"/>
        <n v="100"/>
        <n v="110"/>
        <n v="120"/>
        <n v="140"/>
        <n v="150"/>
        <n v="130"/>
        <n v="160"/>
      </sharedItems>
    </cacheField>
    <cacheField name="protein" numFmtId="0">
      <sharedItems containsSemiMixedTypes="0" containsString="0" containsNumber="1" containsInteger="1" minValue="1" maxValue="6"/>
    </cacheField>
    <cacheField name="fat" numFmtId="0">
      <sharedItems containsSemiMixedTypes="0" containsString="0" containsNumber="1" containsInteger="1" minValue="0" maxValue="5"/>
    </cacheField>
    <cacheField name="sodium" numFmtId="0">
      <sharedItems containsSemiMixedTypes="0" containsString="0" containsNumber="1" containsInteger="1" minValue="0" maxValue="320"/>
    </cacheField>
    <cacheField name="fiber" numFmtId="0">
      <sharedItems containsSemiMixedTypes="0" containsString="0" containsNumber="1" minValue="0" maxValue="14"/>
    </cacheField>
    <cacheField name="carbo" numFmtId="0">
      <sharedItems containsSemiMixedTypes="0" containsString="0" containsNumber="1" minValue="5" maxValue="23"/>
    </cacheField>
    <cacheField name="sugars" numFmtId="0">
      <sharedItems containsSemiMixedTypes="0" containsString="0" containsNumber="1" containsInteger="1" minValue="0" maxValue="15"/>
    </cacheField>
    <cacheField name="potass" numFmtId="0">
      <sharedItems containsSemiMixedTypes="0" containsString="0" containsNumber="1" containsInteger="1" minValue="-1" maxValue="330"/>
    </cacheField>
    <cacheField name="vitamins" numFmtId="0">
      <sharedItems containsSemiMixedTypes="0" containsString="0" containsNumber="1" containsInteger="1" minValue="0" maxValue="100"/>
    </cacheField>
    <cacheField name="shelf" numFmtId="0">
      <sharedItems containsSemiMixedTypes="0" containsString="0" containsNumber="1" containsInteger="1" minValue="1" maxValue="3"/>
    </cacheField>
    <cacheField name="weight" numFmtId="0">
      <sharedItems containsSemiMixedTypes="0" containsString="0" containsNumber="1" minValue="0.5" maxValue="1.5"/>
    </cacheField>
    <cacheField name="cups" numFmtId="0">
      <sharedItems containsSemiMixedTypes="0" containsString="0" containsNumber="1" minValue="0.25" maxValue="1.5"/>
    </cacheField>
    <cacheField name="rating" numFmtId="0">
      <sharedItems containsSemiMixedTypes="0" containsString="0" containsNumber="1" minValue="18.042850999999999" maxValue="93.704911999999993"/>
    </cacheField>
    <cacheField name="Sugar Level" numFmtId="0">
      <sharedItems/>
    </cacheField>
    <cacheField name="Health Score" numFmtId="0">
      <sharedItems containsSemiMixedTypes="0" containsString="0" containsNumber="1" minValue="-15" maxValue="14"/>
    </cacheField>
    <cacheField name="Fiber Level" numFmtId="0">
      <sharedItems count="2">
        <s v="High Fiber"/>
        <s v="Low Fi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6">
  <r>
    <s v="All-Bran with Extra Fiber"/>
    <x v="0"/>
    <s v="C"/>
    <n v="50"/>
    <n v="4"/>
    <n v="0"/>
    <n v="140"/>
    <x v="0"/>
    <n v="8"/>
    <x v="0"/>
    <n v="330"/>
    <n v="25"/>
    <n v="3"/>
    <n v="1"/>
    <n v="0.5"/>
    <n v="93.704911999999993"/>
    <x v="0"/>
    <n v="14"/>
  </r>
  <r>
    <s v="Shredded Wheat 'n'Bran"/>
    <x v="1"/>
    <s v="C"/>
    <n v="90"/>
    <n v="3"/>
    <n v="0"/>
    <n v="0"/>
    <x v="1"/>
    <n v="19"/>
    <x v="0"/>
    <n v="140"/>
    <n v="0"/>
    <n v="1"/>
    <n v="1"/>
    <n v="0.67"/>
    <n v="74.472949"/>
    <x v="0"/>
    <n v="4"/>
  </r>
  <r>
    <s v="Shredded Wheat spoon size"/>
    <x v="1"/>
    <s v="C"/>
    <n v="90"/>
    <n v="3"/>
    <n v="0"/>
    <n v="0"/>
    <x v="2"/>
    <n v="20"/>
    <x v="0"/>
    <n v="120"/>
    <n v="0"/>
    <n v="1"/>
    <n v="1"/>
    <n v="0.67"/>
    <n v="72.801787000000004"/>
    <x v="0"/>
    <n v="3"/>
  </r>
  <r>
    <s v="100% Bran"/>
    <x v="1"/>
    <s v="C"/>
    <n v="70"/>
    <n v="4"/>
    <n v="1"/>
    <n v="130"/>
    <x v="3"/>
    <n v="5"/>
    <x v="1"/>
    <n v="280"/>
    <n v="25"/>
    <n v="3"/>
    <n v="1"/>
    <n v="0.33"/>
    <n v="68.402973000000003"/>
    <x v="0"/>
    <n v="4"/>
  </r>
  <r>
    <s v="Shredded Wheat"/>
    <x v="1"/>
    <s v="C"/>
    <n v="80"/>
    <n v="2"/>
    <n v="0"/>
    <n v="0"/>
    <x v="2"/>
    <n v="16"/>
    <x v="0"/>
    <n v="95"/>
    <n v="0"/>
    <n v="1"/>
    <n v="0.83"/>
    <n v="1"/>
    <n v="68.235884999999996"/>
    <x v="0"/>
    <n v="3"/>
  </r>
  <r>
    <s v="Cream of Wheat (Quick)"/>
    <x v="1"/>
    <s v="H"/>
    <n v="100"/>
    <n v="3"/>
    <n v="0"/>
    <n v="80"/>
    <x v="4"/>
    <n v="21"/>
    <x v="0"/>
    <n v="-1"/>
    <n v="0"/>
    <n v="2"/>
    <n v="1"/>
    <n v="1"/>
    <n v="64.533816000000002"/>
    <x v="0"/>
    <n v="1"/>
  </r>
  <r>
    <s v="Puffed Wheat"/>
    <x v="2"/>
    <s v="C"/>
    <n v="50"/>
    <n v="2"/>
    <n v="0"/>
    <n v="0"/>
    <x v="4"/>
    <n v="10"/>
    <x v="0"/>
    <n v="50"/>
    <n v="0"/>
    <n v="3"/>
    <n v="0.5"/>
    <n v="1"/>
    <n v="63.005645000000001"/>
    <x v="0"/>
    <n v="1"/>
  </r>
  <r>
    <s v="Puffed Rice"/>
    <x v="2"/>
    <s v="C"/>
    <n v="50"/>
    <n v="1"/>
    <n v="0"/>
    <n v="0"/>
    <x v="5"/>
    <n v="13"/>
    <x v="0"/>
    <n v="15"/>
    <n v="0"/>
    <n v="3"/>
    <n v="0.5"/>
    <n v="1"/>
    <n v="60.756112000000002"/>
    <x v="0"/>
    <n v="0"/>
  </r>
  <r>
    <s v="Nutri-grain Wheat"/>
    <x v="0"/>
    <s v="C"/>
    <n v="90"/>
    <n v="3"/>
    <n v="0"/>
    <n v="170"/>
    <x v="2"/>
    <n v="18"/>
    <x v="2"/>
    <n v="90"/>
    <n v="25"/>
    <n v="3"/>
    <n v="1"/>
    <n v="1"/>
    <n v="59.642837"/>
    <x v="0"/>
    <n v="1"/>
  </r>
  <r>
    <s v="All-Bran"/>
    <x v="0"/>
    <s v="C"/>
    <n v="70"/>
    <n v="4"/>
    <n v="1"/>
    <n v="260"/>
    <x v="6"/>
    <n v="7"/>
    <x v="3"/>
    <n v="320"/>
    <n v="25"/>
    <n v="3"/>
    <n v="1"/>
    <n v="0.33"/>
    <n v="59.425505000000001"/>
    <x v="0"/>
    <n v="4"/>
  </r>
  <r>
    <s v="Strawberry Fruit Wheats"/>
    <x v="1"/>
    <s v="C"/>
    <n v="90"/>
    <n v="2"/>
    <n v="0"/>
    <n v="15"/>
    <x v="2"/>
    <n v="15"/>
    <x v="3"/>
    <n v="90"/>
    <n v="25"/>
    <n v="2"/>
    <n v="1"/>
    <n v="1"/>
    <n v="59.363993000000001"/>
    <x v="0"/>
    <n v="-2"/>
  </r>
  <r>
    <s v="Frosted Mini-Wheats"/>
    <x v="0"/>
    <s v="C"/>
    <n v="100"/>
    <n v="3"/>
    <n v="0"/>
    <n v="0"/>
    <x v="2"/>
    <n v="14"/>
    <x v="4"/>
    <n v="100"/>
    <n v="25"/>
    <n v="2"/>
    <n v="1"/>
    <n v="0.8"/>
    <n v="58.345140999999998"/>
    <x v="0"/>
    <n v="-4"/>
  </r>
  <r>
    <s v="Raisin Squares"/>
    <x v="0"/>
    <s v="C"/>
    <n v="90"/>
    <n v="2"/>
    <n v="0"/>
    <n v="0"/>
    <x v="7"/>
    <n v="15"/>
    <x v="1"/>
    <n v="110"/>
    <n v="25"/>
    <n v="3"/>
    <n v="1"/>
    <n v="0.5"/>
    <n v="55.333142000000002"/>
    <x v="0"/>
    <n v="-4"/>
  </r>
  <r>
    <s v="Maypo"/>
    <x v="3"/>
    <s v="H"/>
    <n v="100"/>
    <n v="4"/>
    <n v="1"/>
    <n v="0"/>
    <x v="5"/>
    <n v="16"/>
    <x v="5"/>
    <n v="95"/>
    <n v="25"/>
    <n v="2"/>
    <n v="1"/>
    <n v="1"/>
    <n v="54.850917000000003"/>
    <x v="0"/>
    <n v="-3"/>
  </r>
  <r>
    <s v="Grape-Nuts"/>
    <x v="4"/>
    <s v="C"/>
    <n v="110"/>
    <n v="3"/>
    <n v="0"/>
    <n v="170"/>
    <x v="2"/>
    <n v="17"/>
    <x v="5"/>
    <n v="90"/>
    <n v="25"/>
    <n v="3"/>
    <n v="1"/>
    <n v="0.25"/>
    <n v="53.371006999999999"/>
    <x v="0"/>
    <n v="0"/>
  </r>
  <r>
    <s v="Bran Flakes"/>
    <x v="4"/>
    <s v="C"/>
    <n v="90"/>
    <n v="3"/>
    <n v="0"/>
    <n v="210"/>
    <x v="8"/>
    <n v="13"/>
    <x v="3"/>
    <n v="190"/>
    <n v="25"/>
    <n v="3"/>
    <n v="1"/>
    <n v="0.67"/>
    <n v="53.313813000000003"/>
    <x v="0"/>
    <n v="0"/>
  </r>
  <r>
    <s v="Special K"/>
    <x v="0"/>
    <s v="C"/>
    <n v="110"/>
    <n v="6"/>
    <n v="0"/>
    <n v="230"/>
    <x v="4"/>
    <n v="16"/>
    <x v="5"/>
    <n v="55"/>
    <n v="25"/>
    <n v="1"/>
    <n v="1"/>
    <n v="1"/>
    <n v="53.131323999999999"/>
    <x v="0"/>
    <n v="-2"/>
  </r>
  <r>
    <s v="Grape Nuts Flakes"/>
    <x v="4"/>
    <s v="C"/>
    <n v="100"/>
    <n v="3"/>
    <n v="1"/>
    <n v="140"/>
    <x v="2"/>
    <n v="15"/>
    <x v="3"/>
    <n v="85"/>
    <n v="25"/>
    <n v="3"/>
    <n v="1"/>
    <n v="0.88"/>
    <n v="52.076897000000002"/>
    <x v="0"/>
    <n v="-2"/>
  </r>
  <r>
    <s v="Wheaties"/>
    <x v="5"/>
    <s v="C"/>
    <n v="100"/>
    <n v="3"/>
    <n v="1"/>
    <n v="200"/>
    <x v="2"/>
    <n v="17"/>
    <x v="5"/>
    <n v="110"/>
    <n v="25"/>
    <n v="1"/>
    <n v="1"/>
    <n v="1"/>
    <n v="51.592193000000002"/>
    <x v="0"/>
    <n v="0"/>
  </r>
  <r>
    <s v="Cheerios"/>
    <x v="5"/>
    <s v="C"/>
    <n v="110"/>
    <n v="6"/>
    <n v="2"/>
    <n v="290"/>
    <x v="7"/>
    <n v="17"/>
    <x v="6"/>
    <n v="105"/>
    <n v="25"/>
    <n v="1"/>
    <n v="1"/>
    <n v="1.25"/>
    <n v="50.764999000000003"/>
    <x v="0"/>
    <n v="1"/>
  </r>
  <r>
    <s v="Wheat Chex"/>
    <x v="6"/>
    <s v="C"/>
    <n v="100"/>
    <n v="3"/>
    <n v="1"/>
    <n v="230"/>
    <x v="2"/>
    <n v="17"/>
    <x v="5"/>
    <n v="115"/>
    <n v="25"/>
    <n v="1"/>
    <n v="1"/>
    <n v="0.67"/>
    <n v="49.787444999999998"/>
    <x v="0"/>
    <n v="0"/>
  </r>
  <r>
    <s v="Quaker Oat Squares"/>
    <x v="2"/>
    <s v="C"/>
    <n v="100"/>
    <n v="4"/>
    <n v="1"/>
    <n v="135"/>
    <x v="7"/>
    <n v="14"/>
    <x v="1"/>
    <n v="110"/>
    <n v="25"/>
    <n v="3"/>
    <n v="1"/>
    <n v="0.5"/>
    <n v="49.511873999999999"/>
    <x v="0"/>
    <n v="-4"/>
  </r>
  <r>
    <s v="Bran Chex"/>
    <x v="6"/>
    <s v="C"/>
    <n v="90"/>
    <n v="2"/>
    <n v="1"/>
    <n v="200"/>
    <x v="1"/>
    <n v="15"/>
    <x v="1"/>
    <n v="125"/>
    <n v="25"/>
    <n v="1"/>
    <n v="1"/>
    <n v="0.67"/>
    <n v="49.120252999999998"/>
    <x v="0"/>
    <n v="-2"/>
  </r>
  <r>
    <s v="Crispix"/>
    <x v="0"/>
    <s v="C"/>
    <n v="110"/>
    <n v="2"/>
    <n v="0"/>
    <n v="220"/>
    <x v="4"/>
    <n v="21"/>
    <x v="5"/>
    <n v="30"/>
    <n v="25"/>
    <n v="3"/>
    <n v="1"/>
    <n v="1"/>
    <n v="46.895643999999997"/>
    <x v="0"/>
    <n v="-2"/>
  </r>
  <r>
    <s v="Total Whole Grain"/>
    <x v="5"/>
    <s v="C"/>
    <n v="100"/>
    <n v="3"/>
    <n v="1"/>
    <n v="200"/>
    <x v="2"/>
    <n v="16"/>
    <x v="5"/>
    <n v="110"/>
    <n v="100"/>
    <n v="3"/>
    <n v="1"/>
    <n v="1"/>
    <n v="46.658844000000002"/>
    <x v="0"/>
    <n v="0"/>
  </r>
  <r>
    <s v="Corn Flakes"/>
    <x v="0"/>
    <s v="C"/>
    <n v="100"/>
    <n v="2"/>
    <n v="0"/>
    <n v="290"/>
    <x v="4"/>
    <n v="21"/>
    <x v="2"/>
    <n v="35"/>
    <n v="25"/>
    <n v="1"/>
    <n v="1"/>
    <n v="1"/>
    <n v="45.863323999999999"/>
    <x v="0"/>
    <n v="-1"/>
  </r>
  <r>
    <s v="Great Grains Pecan"/>
    <x v="4"/>
    <s v="C"/>
    <n v="120"/>
    <n v="3"/>
    <n v="3"/>
    <n v="75"/>
    <x v="2"/>
    <n v="13"/>
    <x v="7"/>
    <n v="100"/>
    <n v="25"/>
    <n v="3"/>
    <n v="1"/>
    <n v="0.33"/>
    <n v="45.811715999999997"/>
    <x v="0"/>
    <n v="-1"/>
  </r>
  <r>
    <s v="Life"/>
    <x v="2"/>
    <s v="C"/>
    <n v="100"/>
    <n v="4"/>
    <n v="2"/>
    <n v="150"/>
    <x v="7"/>
    <n v="12"/>
    <x v="1"/>
    <n v="95"/>
    <n v="25"/>
    <n v="2"/>
    <n v="1"/>
    <n v="0.67"/>
    <n v="45.328074000000001"/>
    <x v="0"/>
    <n v="-4"/>
  </r>
  <r>
    <s v="Double Chex"/>
    <x v="6"/>
    <s v="C"/>
    <n v="100"/>
    <n v="2"/>
    <n v="0"/>
    <n v="190"/>
    <x v="4"/>
    <n v="18"/>
    <x v="3"/>
    <n v="80"/>
    <n v="25"/>
    <n v="3"/>
    <n v="1"/>
    <n v="0.75"/>
    <n v="44.330855999999997"/>
    <x v="0"/>
    <n v="-4"/>
  </r>
  <r>
    <s v="Rice Chex"/>
    <x v="6"/>
    <s v="C"/>
    <n v="110"/>
    <n v="1"/>
    <n v="0"/>
    <n v="240"/>
    <x v="5"/>
    <n v="23"/>
    <x v="2"/>
    <n v="30"/>
    <n v="25"/>
    <n v="1"/>
    <n v="1"/>
    <n v="1.1299999999999999"/>
    <n v="41.998933000000001"/>
    <x v="0"/>
    <n v="-2"/>
  </r>
  <r>
    <s v="Product 19"/>
    <x v="0"/>
    <s v="C"/>
    <n v="100"/>
    <n v="3"/>
    <n v="0"/>
    <n v="320"/>
    <x v="4"/>
    <n v="20"/>
    <x v="5"/>
    <n v="45"/>
    <n v="100"/>
    <n v="3"/>
    <n v="1"/>
    <n v="1"/>
    <n v="41.503540000000001"/>
    <x v="0"/>
    <n v="-2"/>
  </r>
  <r>
    <s v="Corn Chex"/>
    <x v="6"/>
    <s v="C"/>
    <n v="110"/>
    <n v="2"/>
    <n v="0"/>
    <n v="280"/>
    <x v="5"/>
    <n v="22"/>
    <x v="5"/>
    <n v="25"/>
    <n v="25"/>
    <n v="1"/>
    <n v="1"/>
    <n v="1"/>
    <n v="41.445019000000002"/>
    <x v="0"/>
    <n v="-3"/>
  </r>
  <r>
    <s v="Fruitful Bran"/>
    <x v="0"/>
    <s v="C"/>
    <n v="120"/>
    <n v="3"/>
    <n v="0"/>
    <n v="240"/>
    <x v="8"/>
    <n v="14"/>
    <x v="8"/>
    <n v="190"/>
    <n v="25"/>
    <n v="3"/>
    <n v="1.33"/>
    <n v="0.67"/>
    <n v="41.015492000000002"/>
    <x v="1"/>
    <n v="-7"/>
  </r>
  <r>
    <s v="Fruit &amp; Fibre Dates; Walnuts; and Oats"/>
    <x v="4"/>
    <s v="C"/>
    <n v="120"/>
    <n v="3"/>
    <n v="2"/>
    <n v="160"/>
    <x v="8"/>
    <n v="12"/>
    <x v="9"/>
    <n v="200"/>
    <n v="25"/>
    <n v="3"/>
    <n v="1.25"/>
    <n v="0.67"/>
    <n v="40.917046999999997"/>
    <x v="0"/>
    <n v="-5"/>
  </r>
  <r>
    <s v="Nutri-Grain Almond-Raisin"/>
    <x v="0"/>
    <s v="C"/>
    <n v="140"/>
    <n v="3"/>
    <n v="2"/>
    <n v="220"/>
    <x v="2"/>
    <n v="21"/>
    <x v="4"/>
    <n v="130"/>
    <n v="25"/>
    <n v="3"/>
    <n v="1.33"/>
    <n v="0.67"/>
    <n v="40.692320000000002"/>
    <x v="0"/>
    <n v="-4"/>
  </r>
  <r>
    <s v="Rice Krispies"/>
    <x v="0"/>
    <s v="C"/>
    <n v="110"/>
    <n v="2"/>
    <n v="0"/>
    <n v="290"/>
    <x v="5"/>
    <n v="22"/>
    <x v="5"/>
    <n v="35"/>
    <n v="25"/>
    <n v="1"/>
    <n v="1"/>
    <n v="1"/>
    <n v="40.560158999999999"/>
    <x v="0"/>
    <n v="-3"/>
  </r>
  <r>
    <s v="Cracklin' Oat Bran"/>
    <x v="0"/>
    <s v="C"/>
    <n v="110"/>
    <n v="3"/>
    <n v="3"/>
    <n v="140"/>
    <x v="1"/>
    <n v="10"/>
    <x v="4"/>
    <n v="160"/>
    <n v="25"/>
    <n v="3"/>
    <n v="1"/>
    <n v="0.5"/>
    <n v="40.448771999999998"/>
    <x v="0"/>
    <n v="-3"/>
  </r>
  <r>
    <s v="Clusters"/>
    <x v="5"/>
    <s v="C"/>
    <n v="110"/>
    <n v="3"/>
    <n v="2"/>
    <n v="140"/>
    <x v="7"/>
    <n v="13"/>
    <x v="4"/>
    <n v="105"/>
    <n v="25"/>
    <n v="3"/>
    <n v="1"/>
    <n v="0.5"/>
    <n v="40.400207999999999"/>
    <x v="0"/>
    <n v="-5"/>
  </r>
  <r>
    <s v="Multi-Grain Cheerios"/>
    <x v="5"/>
    <s v="C"/>
    <n v="100"/>
    <n v="2"/>
    <n v="1"/>
    <n v="220"/>
    <x v="7"/>
    <n v="15"/>
    <x v="1"/>
    <n v="90"/>
    <n v="25"/>
    <n v="1"/>
    <n v="1"/>
    <n v="1"/>
    <n v="40.105964999999998"/>
    <x v="0"/>
    <n v="-4"/>
  </r>
  <r>
    <s v="Raisin Nut Bran"/>
    <x v="5"/>
    <s v="C"/>
    <n v="100"/>
    <n v="3"/>
    <n v="2"/>
    <n v="140"/>
    <x v="9"/>
    <n v="10.5"/>
    <x v="10"/>
    <n v="140"/>
    <n v="25"/>
    <n v="3"/>
    <n v="1"/>
    <n v="0.5"/>
    <n v="39.703400000000002"/>
    <x v="0"/>
    <n v="-5.5"/>
  </r>
  <r>
    <s v="Raisin Bran"/>
    <x v="0"/>
    <s v="C"/>
    <n v="120"/>
    <n v="3"/>
    <n v="1"/>
    <n v="210"/>
    <x v="8"/>
    <n v="14"/>
    <x v="8"/>
    <n v="240"/>
    <n v="25"/>
    <n v="2"/>
    <n v="1.33"/>
    <n v="0.75"/>
    <n v="39.259197"/>
    <x v="1"/>
    <n v="-7"/>
  </r>
  <r>
    <s v="Kix"/>
    <x v="5"/>
    <s v="C"/>
    <n v="110"/>
    <n v="2"/>
    <n v="1"/>
    <n v="260"/>
    <x v="5"/>
    <n v="21"/>
    <x v="5"/>
    <n v="40"/>
    <n v="25"/>
    <n v="2"/>
    <n v="1"/>
    <n v="1.5"/>
    <n v="39.241114000000003"/>
    <x v="0"/>
    <n v="-3"/>
  </r>
  <r>
    <s v="Triples"/>
    <x v="5"/>
    <s v="C"/>
    <n v="110"/>
    <n v="2"/>
    <n v="1"/>
    <n v="250"/>
    <x v="5"/>
    <n v="21"/>
    <x v="5"/>
    <n v="60"/>
    <n v="25"/>
    <n v="3"/>
    <n v="1"/>
    <n v="0.75"/>
    <n v="39.106174000000003"/>
    <x v="0"/>
    <n v="-3"/>
  </r>
  <r>
    <s v="Total Corn Flakes"/>
    <x v="5"/>
    <s v="C"/>
    <n v="110"/>
    <n v="2"/>
    <n v="1"/>
    <n v="200"/>
    <x v="5"/>
    <n v="21"/>
    <x v="5"/>
    <n v="35"/>
    <n v="100"/>
    <n v="3"/>
    <n v="1"/>
    <n v="1"/>
    <n v="38.839745999999998"/>
    <x v="0"/>
    <n v="-3"/>
  </r>
  <r>
    <s v="Post Nat. Raisin Bran"/>
    <x v="4"/>
    <s v="C"/>
    <n v="120"/>
    <n v="3"/>
    <n v="1"/>
    <n v="200"/>
    <x v="10"/>
    <n v="11"/>
    <x v="11"/>
    <n v="260"/>
    <n v="25"/>
    <n v="3"/>
    <n v="1.33"/>
    <n v="0.67"/>
    <n v="37.840594000000003"/>
    <x v="1"/>
    <n v="-8"/>
  </r>
  <r>
    <s v="Muesli Raisins; Dates; &amp; Almonds"/>
    <x v="6"/>
    <s v="C"/>
    <n v="150"/>
    <n v="4"/>
    <n v="3"/>
    <n v="95"/>
    <x v="2"/>
    <n v="16"/>
    <x v="12"/>
    <n v="170"/>
    <n v="25"/>
    <n v="3"/>
    <n v="1"/>
    <n v="1"/>
    <n v="37.136862999999998"/>
    <x v="1"/>
    <n v="-8"/>
  </r>
  <r>
    <s v="Basic 4"/>
    <x v="5"/>
    <s v="C"/>
    <n v="130"/>
    <n v="3"/>
    <n v="2"/>
    <n v="210"/>
    <x v="7"/>
    <n v="18"/>
    <x v="10"/>
    <n v="100"/>
    <n v="25"/>
    <n v="3"/>
    <n v="1.33"/>
    <n v="0.75"/>
    <n v="37.038561999999999"/>
    <x v="0"/>
    <n v="-6"/>
  </r>
  <r>
    <s v="Just Right Crunchy  Nuggets"/>
    <x v="0"/>
    <s v="C"/>
    <n v="110"/>
    <n v="2"/>
    <n v="1"/>
    <n v="170"/>
    <x v="4"/>
    <n v="17"/>
    <x v="1"/>
    <n v="60"/>
    <n v="100"/>
    <n v="3"/>
    <n v="1"/>
    <n v="1"/>
    <n v="36.523682999999998"/>
    <x v="0"/>
    <n v="-5"/>
  </r>
  <r>
    <s v="Just Right Fruit &amp; Nut"/>
    <x v="0"/>
    <s v="C"/>
    <n v="140"/>
    <n v="3"/>
    <n v="1"/>
    <n v="170"/>
    <x v="7"/>
    <n v="20"/>
    <x v="13"/>
    <n v="95"/>
    <n v="100"/>
    <n v="3"/>
    <n v="1.3"/>
    <n v="0.75"/>
    <n v="36.471511999999997"/>
    <x v="0"/>
    <n v="-7"/>
  </r>
  <r>
    <s v="Wheaties Honey Gold"/>
    <x v="5"/>
    <s v="C"/>
    <n v="110"/>
    <n v="2"/>
    <n v="1"/>
    <n v="200"/>
    <x v="4"/>
    <n v="16"/>
    <x v="10"/>
    <n v="60"/>
    <n v="25"/>
    <n v="1"/>
    <n v="1"/>
    <n v="0.75"/>
    <n v="36.187559"/>
    <x v="0"/>
    <n v="-7"/>
  </r>
  <r>
    <s v="Crispy Wheat &amp; Raisins"/>
    <x v="5"/>
    <s v="C"/>
    <n v="100"/>
    <n v="2"/>
    <n v="1"/>
    <n v="140"/>
    <x v="7"/>
    <n v="11"/>
    <x v="9"/>
    <n v="120"/>
    <n v="25"/>
    <n v="3"/>
    <n v="1"/>
    <n v="0.75"/>
    <n v="36.176195999999997"/>
    <x v="0"/>
    <n v="-8"/>
  </r>
  <r>
    <s v="Corn Pops"/>
    <x v="0"/>
    <s v="C"/>
    <n v="110"/>
    <n v="1"/>
    <n v="0"/>
    <n v="90"/>
    <x v="4"/>
    <n v="13"/>
    <x v="8"/>
    <n v="20"/>
    <n v="25"/>
    <n v="2"/>
    <n v="1"/>
    <n v="1"/>
    <n v="35.782791000000003"/>
    <x v="1"/>
    <n v="-11"/>
  </r>
  <r>
    <s v="Golden Crisp"/>
    <x v="4"/>
    <s v="C"/>
    <n v="100"/>
    <n v="2"/>
    <n v="0"/>
    <n v="45"/>
    <x v="5"/>
    <n v="11"/>
    <x v="14"/>
    <n v="40"/>
    <n v="25"/>
    <n v="1"/>
    <n v="1"/>
    <n v="0.88"/>
    <n v="35.252443999999997"/>
    <x v="1"/>
    <n v="-15"/>
  </r>
  <r>
    <s v="Almond Delight"/>
    <x v="6"/>
    <s v="C"/>
    <n v="110"/>
    <n v="2"/>
    <n v="2"/>
    <n v="200"/>
    <x v="4"/>
    <n v="14"/>
    <x v="10"/>
    <n v="-1"/>
    <n v="25"/>
    <n v="3"/>
    <n v="1"/>
    <n v="0.75"/>
    <n v="34.384842999999996"/>
    <x v="0"/>
    <n v="-7"/>
  </r>
  <r>
    <s v="Muesli Raisins; Peaches; &amp; Pecans"/>
    <x v="6"/>
    <s v="C"/>
    <n v="150"/>
    <n v="4"/>
    <n v="3"/>
    <n v="150"/>
    <x v="2"/>
    <n v="16"/>
    <x v="12"/>
    <n v="170"/>
    <n v="25"/>
    <n v="3"/>
    <n v="1"/>
    <n v="1"/>
    <n v="34.139764999999997"/>
    <x v="1"/>
    <n v="-8"/>
  </r>
  <r>
    <s v="100% Natural Bran"/>
    <x v="2"/>
    <s v="C"/>
    <n v="120"/>
    <n v="3"/>
    <n v="5"/>
    <n v="15"/>
    <x v="7"/>
    <n v="8"/>
    <x v="10"/>
    <n v="135"/>
    <n v="0"/>
    <n v="3"/>
    <n v="1"/>
    <n v="1"/>
    <n v="33.983679000000002"/>
    <x v="0"/>
    <n v="-6"/>
  </r>
  <r>
    <s v="Apple Jacks"/>
    <x v="0"/>
    <s v="C"/>
    <n v="110"/>
    <n v="2"/>
    <n v="0"/>
    <n v="125"/>
    <x v="4"/>
    <n v="11"/>
    <x v="11"/>
    <n v="30"/>
    <n v="25"/>
    <n v="2"/>
    <n v="1"/>
    <n v="1"/>
    <n v="33.174093999999997"/>
    <x v="1"/>
    <n v="-13"/>
  </r>
  <r>
    <s v="Froot Loops"/>
    <x v="0"/>
    <s v="C"/>
    <n v="110"/>
    <n v="2"/>
    <n v="1"/>
    <n v="125"/>
    <x v="4"/>
    <n v="11"/>
    <x v="15"/>
    <n v="30"/>
    <n v="25"/>
    <n v="2"/>
    <n v="1"/>
    <n v="1"/>
    <n v="32.207582000000002"/>
    <x v="1"/>
    <n v="-12"/>
  </r>
  <r>
    <s v="Frosted Flakes"/>
    <x v="0"/>
    <s v="C"/>
    <n v="110"/>
    <n v="1"/>
    <n v="0"/>
    <n v="200"/>
    <x v="4"/>
    <n v="14"/>
    <x v="12"/>
    <n v="25"/>
    <n v="25"/>
    <n v="1"/>
    <n v="1"/>
    <n v="0.75"/>
    <n v="31.435973000000001"/>
    <x v="1"/>
    <n v="-10"/>
  </r>
  <r>
    <s v="Smacks"/>
    <x v="0"/>
    <s v="C"/>
    <n v="110"/>
    <n v="2"/>
    <n v="1"/>
    <n v="70"/>
    <x v="4"/>
    <n v="9"/>
    <x v="14"/>
    <n v="40"/>
    <n v="25"/>
    <n v="2"/>
    <n v="1"/>
    <n v="0.75"/>
    <n v="31.230053999999999"/>
    <x v="1"/>
    <n v="-14"/>
  </r>
  <r>
    <s v="Honey Nut Cheerios"/>
    <x v="5"/>
    <s v="C"/>
    <n v="110"/>
    <n v="3"/>
    <n v="1"/>
    <n v="250"/>
    <x v="11"/>
    <n v="11.5"/>
    <x v="9"/>
    <n v="90"/>
    <n v="25"/>
    <n v="1"/>
    <n v="1"/>
    <n v="0.75"/>
    <n v="31.072216999999998"/>
    <x v="0"/>
    <n v="-8.5"/>
  </r>
  <r>
    <s v="Oatmeal Raisin Crisp"/>
    <x v="5"/>
    <s v="C"/>
    <n v="130"/>
    <n v="3"/>
    <n v="2"/>
    <n v="170"/>
    <x v="11"/>
    <n v="13.5"/>
    <x v="9"/>
    <n v="120"/>
    <n v="25"/>
    <n v="3"/>
    <n v="1.25"/>
    <n v="0.5"/>
    <n v="30.450842999999999"/>
    <x v="0"/>
    <n v="-8.5"/>
  </r>
  <r>
    <s v="Mueslix Crispy Blend"/>
    <x v="0"/>
    <s v="C"/>
    <n v="160"/>
    <n v="3"/>
    <n v="2"/>
    <n v="150"/>
    <x v="2"/>
    <n v="17"/>
    <x v="15"/>
    <n v="160"/>
    <n v="25"/>
    <n v="3"/>
    <n v="1.5"/>
    <n v="0.67"/>
    <n v="30.313351000000001"/>
    <x v="1"/>
    <n v="-10"/>
  </r>
  <r>
    <s v="Nut&amp;Honey Crunch"/>
    <x v="0"/>
    <s v="C"/>
    <n v="120"/>
    <n v="2"/>
    <n v="1"/>
    <n v="190"/>
    <x v="5"/>
    <n v="15"/>
    <x v="13"/>
    <n v="40"/>
    <n v="25"/>
    <n v="2"/>
    <n v="1"/>
    <n v="0.67"/>
    <n v="29.924285000000001"/>
    <x v="0"/>
    <n v="-9"/>
  </r>
  <r>
    <s v="Apple Cinnamon Cheerios"/>
    <x v="5"/>
    <s v="C"/>
    <n v="110"/>
    <n v="2"/>
    <n v="2"/>
    <n v="180"/>
    <x v="11"/>
    <n v="10.5"/>
    <x v="9"/>
    <n v="70"/>
    <n v="25"/>
    <n v="1"/>
    <n v="1"/>
    <n v="0.75"/>
    <n v="29.509540999999999"/>
    <x v="0"/>
    <n v="-8.5"/>
  </r>
  <r>
    <s v="Honey-comb"/>
    <x v="4"/>
    <s v="C"/>
    <n v="110"/>
    <n v="1"/>
    <n v="0"/>
    <n v="180"/>
    <x v="5"/>
    <n v="14"/>
    <x v="12"/>
    <n v="35"/>
    <n v="25"/>
    <n v="1"/>
    <n v="1"/>
    <n v="1.33"/>
    <n v="28.742414"/>
    <x v="1"/>
    <n v="-11"/>
  </r>
  <r>
    <s v="Total Raisin Bran"/>
    <x v="5"/>
    <s v="C"/>
    <n v="140"/>
    <n v="3"/>
    <n v="1"/>
    <n v="190"/>
    <x v="1"/>
    <n v="15"/>
    <x v="11"/>
    <n v="230"/>
    <n v="100"/>
    <n v="3"/>
    <n v="1.5"/>
    <n v="1"/>
    <n v="28.592784999999999"/>
    <x v="1"/>
    <n v="-10"/>
  </r>
  <r>
    <s v="Fruity Pebbles"/>
    <x v="4"/>
    <s v="C"/>
    <n v="110"/>
    <n v="1"/>
    <n v="1"/>
    <n v="135"/>
    <x v="5"/>
    <n v="13"/>
    <x v="8"/>
    <n v="25"/>
    <n v="25"/>
    <n v="2"/>
    <n v="1"/>
    <n v="0.75"/>
    <n v="28.025765"/>
    <x v="1"/>
    <n v="-12"/>
  </r>
  <r>
    <s v="Trix"/>
    <x v="5"/>
    <s v="C"/>
    <n v="110"/>
    <n v="1"/>
    <n v="1"/>
    <n v="140"/>
    <x v="5"/>
    <n v="13"/>
    <x v="8"/>
    <n v="25"/>
    <n v="25"/>
    <n v="2"/>
    <n v="1"/>
    <n v="1"/>
    <n v="27.753301"/>
    <x v="1"/>
    <n v="-12"/>
  </r>
  <r>
    <s v="Lucky Charms"/>
    <x v="5"/>
    <s v="C"/>
    <n v="110"/>
    <n v="2"/>
    <n v="1"/>
    <n v="180"/>
    <x v="5"/>
    <n v="12"/>
    <x v="8"/>
    <n v="55"/>
    <n v="25"/>
    <n v="2"/>
    <n v="1"/>
    <n v="1"/>
    <n v="26.734514999999998"/>
    <x v="1"/>
    <n v="-12"/>
  </r>
  <r>
    <s v="Golden Grahams"/>
    <x v="5"/>
    <s v="C"/>
    <n v="110"/>
    <n v="1"/>
    <n v="1"/>
    <n v="280"/>
    <x v="5"/>
    <n v="15"/>
    <x v="13"/>
    <n v="45"/>
    <n v="25"/>
    <n v="2"/>
    <n v="1"/>
    <n v="0.75"/>
    <n v="23.804043"/>
    <x v="0"/>
    <n v="-9"/>
  </r>
  <r>
    <s v="Cocoa Puffs"/>
    <x v="5"/>
    <s v="C"/>
    <n v="110"/>
    <n v="1"/>
    <n v="1"/>
    <n v="180"/>
    <x v="5"/>
    <n v="12"/>
    <x v="15"/>
    <n v="55"/>
    <n v="25"/>
    <n v="2"/>
    <n v="1"/>
    <n v="1"/>
    <n v="22.736446000000001"/>
    <x v="1"/>
    <n v="-13"/>
  </r>
  <r>
    <s v="Count Chocula"/>
    <x v="5"/>
    <s v="C"/>
    <n v="110"/>
    <n v="1"/>
    <n v="1"/>
    <n v="180"/>
    <x v="5"/>
    <n v="12"/>
    <x v="15"/>
    <n v="65"/>
    <n v="25"/>
    <n v="2"/>
    <n v="1"/>
    <n v="1"/>
    <n v="22.396512999999999"/>
    <x v="1"/>
    <n v="-13"/>
  </r>
  <r>
    <s v="Honey Graham Ohs"/>
    <x v="2"/>
    <s v="C"/>
    <n v="120"/>
    <n v="1"/>
    <n v="2"/>
    <n v="220"/>
    <x v="4"/>
    <n v="12"/>
    <x v="12"/>
    <n v="45"/>
    <n v="25"/>
    <n v="2"/>
    <n v="1"/>
    <n v="1"/>
    <n v="21.871292"/>
    <x v="1"/>
    <n v="-10"/>
  </r>
  <r>
    <s v="Cinnamon Toast Crunch"/>
    <x v="5"/>
    <s v="C"/>
    <n v="120"/>
    <n v="1"/>
    <n v="3"/>
    <n v="210"/>
    <x v="5"/>
    <n v="13"/>
    <x v="13"/>
    <n v="45"/>
    <n v="25"/>
    <n v="2"/>
    <n v="1"/>
    <n v="0.75"/>
    <n v="19.823573"/>
    <x v="0"/>
    <n v="-9"/>
  </r>
  <r>
    <s v="Cap'n'Crunch"/>
    <x v="2"/>
    <s v="C"/>
    <n v="120"/>
    <n v="1"/>
    <n v="2"/>
    <n v="220"/>
    <x v="5"/>
    <n v="12"/>
    <x v="8"/>
    <n v="35"/>
    <n v="25"/>
    <n v="2"/>
    <n v="1"/>
    <n v="0.75"/>
    <n v="18.042850999999999"/>
    <x v="1"/>
    <n v="-1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s v="All-Bran with Extra Fiber"/>
    <s v="K"/>
    <s v="C"/>
    <x v="0"/>
    <n v="4"/>
    <n v="0"/>
    <n v="140"/>
    <n v="14"/>
    <n v="8"/>
    <n v="0"/>
    <n v="330"/>
    <n v="25"/>
    <n v="3"/>
    <n v="1"/>
    <n v="0.5"/>
    <n v="93.704911999999993"/>
    <s v="Low Sugar"/>
    <n v="14"/>
    <x v="0"/>
  </r>
  <r>
    <s v="Shredded Wheat 'n'Bran"/>
    <s v="N"/>
    <s v="C"/>
    <x v="1"/>
    <n v="3"/>
    <n v="0"/>
    <n v="0"/>
    <n v="4"/>
    <n v="19"/>
    <n v="0"/>
    <n v="140"/>
    <n v="0"/>
    <n v="1"/>
    <n v="1"/>
    <n v="0.67"/>
    <n v="74.472949"/>
    <s v="Low Sugar"/>
    <n v="4"/>
    <x v="1"/>
  </r>
  <r>
    <s v="Shredded Wheat spoon size"/>
    <s v="N"/>
    <s v="C"/>
    <x v="1"/>
    <n v="3"/>
    <n v="0"/>
    <n v="0"/>
    <n v="3"/>
    <n v="20"/>
    <n v="0"/>
    <n v="120"/>
    <n v="0"/>
    <n v="1"/>
    <n v="1"/>
    <n v="0.67"/>
    <n v="72.801787000000004"/>
    <s v="Low Sugar"/>
    <n v="3"/>
    <x v="1"/>
  </r>
  <r>
    <s v="100% Bran"/>
    <s v="N"/>
    <s v="C"/>
    <x v="2"/>
    <n v="4"/>
    <n v="1"/>
    <n v="130"/>
    <n v="10"/>
    <n v="5"/>
    <n v="6"/>
    <n v="280"/>
    <n v="25"/>
    <n v="3"/>
    <n v="1"/>
    <n v="0.33"/>
    <n v="68.402973000000003"/>
    <s v="Low Sugar"/>
    <n v="4"/>
    <x v="0"/>
  </r>
  <r>
    <s v="Shredded Wheat"/>
    <s v="N"/>
    <s v="C"/>
    <x v="3"/>
    <n v="2"/>
    <n v="0"/>
    <n v="0"/>
    <n v="3"/>
    <n v="16"/>
    <n v="0"/>
    <n v="95"/>
    <n v="0"/>
    <n v="1"/>
    <n v="0.83"/>
    <n v="1"/>
    <n v="68.235884999999996"/>
    <s v="Low Sugar"/>
    <n v="3"/>
    <x v="1"/>
  </r>
  <r>
    <s v="Cream of Wheat (Quick)"/>
    <s v="N"/>
    <s v="H"/>
    <x v="4"/>
    <n v="3"/>
    <n v="0"/>
    <n v="80"/>
    <n v="1"/>
    <n v="21"/>
    <n v="0"/>
    <n v="-1"/>
    <n v="0"/>
    <n v="2"/>
    <n v="1"/>
    <n v="1"/>
    <n v="64.533816000000002"/>
    <s v="Low Sugar"/>
    <n v="1"/>
    <x v="1"/>
  </r>
  <r>
    <s v="Puffed Wheat"/>
    <s v="Q"/>
    <s v="C"/>
    <x v="0"/>
    <n v="2"/>
    <n v="0"/>
    <n v="0"/>
    <n v="1"/>
    <n v="10"/>
    <n v="0"/>
    <n v="50"/>
    <n v="0"/>
    <n v="3"/>
    <n v="0.5"/>
    <n v="1"/>
    <n v="63.005645000000001"/>
    <s v="Low Sugar"/>
    <n v="1"/>
    <x v="1"/>
  </r>
  <r>
    <s v="Puffed Rice"/>
    <s v="Q"/>
    <s v="C"/>
    <x v="0"/>
    <n v="1"/>
    <n v="0"/>
    <n v="0"/>
    <n v="0"/>
    <n v="13"/>
    <n v="0"/>
    <n v="15"/>
    <n v="0"/>
    <n v="3"/>
    <n v="0.5"/>
    <n v="1"/>
    <n v="60.756112000000002"/>
    <s v="Low Sugar"/>
    <n v="0"/>
    <x v="1"/>
  </r>
  <r>
    <s v="Nutri-grain Wheat"/>
    <s v="K"/>
    <s v="C"/>
    <x v="1"/>
    <n v="3"/>
    <n v="0"/>
    <n v="170"/>
    <n v="3"/>
    <n v="18"/>
    <n v="2"/>
    <n v="90"/>
    <n v="25"/>
    <n v="3"/>
    <n v="1"/>
    <n v="1"/>
    <n v="59.642837"/>
    <s v="Low Sugar"/>
    <n v="1"/>
    <x v="1"/>
  </r>
  <r>
    <s v="All-Bran"/>
    <s v="K"/>
    <s v="C"/>
    <x v="2"/>
    <n v="4"/>
    <n v="1"/>
    <n v="260"/>
    <n v="9"/>
    <n v="7"/>
    <n v="5"/>
    <n v="320"/>
    <n v="25"/>
    <n v="3"/>
    <n v="1"/>
    <n v="0.33"/>
    <n v="59.425505000000001"/>
    <s v="Low Sugar"/>
    <n v="4"/>
    <x v="0"/>
  </r>
  <r>
    <s v="Strawberry Fruit Wheats"/>
    <s v="N"/>
    <s v="C"/>
    <x v="1"/>
    <n v="2"/>
    <n v="0"/>
    <n v="15"/>
    <n v="3"/>
    <n v="15"/>
    <n v="5"/>
    <n v="90"/>
    <n v="25"/>
    <n v="2"/>
    <n v="1"/>
    <n v="1"/>
    <n v="59.363993000000001"/>
    <s v="Low Sugar"/>
    <n v="-2"/>
    <x v="1"/>
  </r>
  <r>
    <s v="Frosted Mini-Wheats"/>
    <s v="K"/>
    <s v="C"/>
    <x v="4"/>
    <n v="3"/>
    <n v="0"/>
    <n v="0"/>
    <n v="3"/>
    <n v="14"/>
    <n v="7"/>
    <n v="100"/>
    <n v="25"/>
    <n v="2"/>
    <n v="1"/>
    <n v="0.8"/>
    <n v="58.345140999999998"/>
    <s v="Low Sugar"/>
    <n v="-4"/>
    <x v="1"/>
  </r>
  <r>
    <s v="Raisin Squares"/>
    <s v="K"/>
    <s v="C"/>
    <x v="1"/>
    <n v="2"/>
    <n v="0"/>
    <n v="0"/>
    <n v="2"/>
    <n v="15"/>
    <n v="6"/>
    <n v="110"/>
    <n v="25"/>
    <n v="3"/>
    <n v="1"/>
    <n v="0.5"/>
    <n v="55.333142000000002"/>
    <s v="Low Sugar"/>
    <n v="-4"/>
    <x v="1"/>
  </r>
  <r>
    <s v="Maypo"/>
    <s v="A"/>
    <s v="H"/>
    <x v="4"/>
    <n v="4"/>
    <n v="1"/>
    <n v="0"/>
    <n v="0"/>
    <n v="16"/>
    <n v="3"/>
    <n v="95"/>
    <n v="25"/>
    <n v="2"/>
    <n v="1"/>
    <n v="1"/>
    <n v="54.850917000000003"/>
    <s v="Low Sugar"/>
    <n v="-3"/>
    <x v="1"/>
  </r>
  <r>
    <s v="Grape-Nuts"/>
    <s v="P"/>
    <s v="C"/>
    <x v="5"/>
    <n v="3"/>
    <n v="0"/>
    <n v="170"/>
    <n v="3"/>
    <n v="17"/>
    <n v="3"/>
    <n v="90"/>
    <n v="25"/>
    <n v="3"/>
    <n v="1"/>
    <n v="0.25"/>
    <n v="53.371006999999999"/>
    <s v="Low Sugar"/>
    <n v="0"/>
    <x v="1"/>
  </r>
  <r>
    <s v="Bran Flakes"/>
    <s v="P"/>
    <s v="C"/>
    <x v="1"/>
    <n v="3"/>
    <n v="0"/>
    <n v="210"/>
    <n v="5"/>
    <n v="13"/>
    <n v="5"/>
    <n v="190"/>
    <n v="25"/>
    <n v="3"/>
    <n v="1"/>
    <n v="0.67"/>
    <n v="53.313813000000003"/>
    <s v="Low Sugar"/>
    <n v="0"/>
    <x v="1"/>
  </r>
  <r>
    <s v="Special K"/>
    <s v="K"/>
    <s v="C"/>
    <x v="5"/>
    <n v="6"/>
    <n v="0"/>
    <n v="230"/>
    <n v="1"/>
    <n v="16"/>
    <n v="3"/>
    <n v="55"/>
    <n v="25"/>
    <n v="1"/>
    <n v="1"/>
    <n v="1"/>
    <n v="53.131323999999999"/>
    <s v="Low Sugar"/>
    <n v="-2"/>
    <x v="1"/>
  </r>
  <r>
    <s v="Grape Nuts Flakes"/>
    <s v="P"/>
    <s v="C"/>
    <x v="4"/>
    <n v="3"/>
    <n v="1"/>
    <n v="140"/>
    <n v="3"/>
    <n v="15"/>
    <n v="5"/>
    <n v="85"/>
    <n v="25"/>
    <n v="3"/>
    <n v="1"/>
    <n v="0.88"/>
    <n v="52.076897000000002"/>
    <s v="Low Sugar"/>
    <n v="-2"/>
    <x v="1"/>
  </r>
  <r>
    <s v="Wheaties"/>
    <s v="G"/>
    <s v="C"/>
    <x v="4"/>
    <n v="3"/>
    <n v="1"/>
    <n v="200"/>
    <n v="3"/>
    <n v="17"/>
    <n v="3"/>
    <n v="110"/>
    <n v="25"/>
    <n v="1"/>
    <n v="1"/>
    <n v="1"/>
    <n v="51.592193000000002"/>
    <s v="Low Sugar"/>
    <n v="0"/>
    <x v="1"/>
  </r>
  <r>
    <s v="Cheerios"/>
    <s v="G"/>
    <s v="C"/>
    <x v="5"/>
    <n v="6"/>
    <n v="2"/>
    <n v="290"/>
    <n v="2"/>
    <n v="17"/>
    <n v="1"/>
    <n v="105"/>
    <n v="25"/>
    <n v="1"/>
    <n v="1"/>
    <n v="1.25"/>
    <n v="50.764999000000003"/>
    <s v="Low Sugar"/>
    <n v="1"/>
    <x v="1"/>
  </r>
  <r>
    <s v="Wheat Chex"/>
    <s v="R"/>
    <s v="C"/>
    <x v="4"/>
    <n v="3"/>
    <n v="1"/>
    <n v="230"/>
    <n v="3"/>
    <n v="17"/>
    <n v="3"/>
    <n v="115"/>
    <n v="25"/>
    <n v="1"/>
    <n v="1"/>
    <n v="0.67"/>
    <n v="49.787444999999998"/>
    <s v="Low Sugar"/>
    <n v="0"/>
    <x v="1"/>
  </r>
  <r>
    <s v="Quaker Oat Squares"/>
    <s v="Q"/>
    <s v="C"/>
    <x v="4"/>
    <n v="4"/>
    <n v="1"/>
    <n v="135"/>
    <n v="2"/>
    <n v="14"/>
    <n v="6"/>
    <n v="110"/>
    <n v="25"/>
    <n v="3"/>
    <n v="1"/>
    <n v="0.5"/>
    <n v="49.511873999999999"/>
    <s v="Low Sugar"/>
    <n v="-4"/>
    <x v="1"/>
  </r>
  <r>
    <s v="Bran Chex"/>
    <s v="R"/>
    <s v="C"/>
    <x v="1"/>
    <n v="2"/>
    <n v="1"/>
    <n v="200"/>
    <n v="4"/>
    <n v="15"/>
    <n v="6"/>
    <n v="125"/>
    <n v="25"/>
    <n v="1"/>
    <n v="1"/>
    <n v="0.67"/>
    <n v="49.120252999999998"/>
    <s v="Low Sugar"/>
    <n v="-2"/>
    <x v="1"/>
  </r>
  <r>
    <s v="Crispix"/>
    <s v="K"/>
    <s v="C"/>
    <x v="5"/>
    <n v="2"/>
    <n v="0"/>
    <n v="220"/>
    <n v="1"/>
    <n v="21"/>
    <n v="3"/>
    <n v="30"/>
    <n v="25"/>
    <n v="3"/>
    <n v="1"/>
    <n v="1"/>
    <n v="46.895643999999997"/>
    <s v="Low Sugar"/>
    <n v="-2"/>
    <x v="1"/>
  </r>
  <r>
    <s v="Total Whole Grain"/>
    <s v="G"/>
    <s v="C"/>
    <x v="4"/>
    <n v="3"/>
    <n v="1"/>
    <n v="200"/>
    <n v="3"/>
    <n v="16"/>
    <n v="3"/>
    <n v="110"/>
    <n v="100"/>
    <n v="3"/>
    <n v="1"/>
    <n v="1"/>
    <n v="46.658844000000002"/>
    <s v="Low Sugar"/>
    <n v="0"/>
    <x v="1"/>
  </r>
  <r>
    <s v="Corn Flakes"/>
    <s v="K"/>
    <s v="C"/>
    <x v="4"/>
    <n v="2"/>
    <n v="0"/>
    <n v="290"/>
    <n v="1"/>
    <n v="21"/>
    <n v="2"/>
    <n v="35"/>
    <n v="25"/>
    <n v="1"/>
    <n v="1"/>
    <n v="1"/>
    <n v="45.863323999999999"/>
    <s v="Low Sugar"/>
    <n v="-1"/>
    <x v="1"/>
  </r>
  <r>
    <s v="Great Grains Pecan"/>
    <s v="P"/>
    <s v="C"/>
    <x v="6"/>
    <n v="3"/>
    <n v="3"/>
    <n v="75"/>
    <n v="3"/>
    <n v="13"/>
    <n v="4"/>
    <n v="100"/>
    <n v="25"/>
    <n v="3"/>
    <n v="1"/>
    <n v="0.33"/>
    <n v="45.811715999999997"/>
    <s v="Low Sugar"/>
    <n v="-1"/>
    <x v="1"/>
  </r>
  <r>
    <s v="Life"/>
    <s v="Q"/>
    <s v="C"/>
    <x v="4"/>
    <n v="4"/>
    <n v="2"/>
    <n v="150"/>
    <n v="2"/>
    <n v="12"/>
    <n v="6"/>
    <n v="95"/>
    <n v="25"/>
    <n v="2"/>
    <n v="1"/>
    <n v="0.67"/>
    <n v="45.328074000000001"/>
    <s v="Low Sugar"/>
    <n v="-4"/>
    <x v="1"/>
  </r>
  <r>
    <s v="Double Chex"/>
    <s v="R"/>
    <s v="C"/>
    <x v="4"/>
    <n v="2"/>
    <n v="0"/>
    <n v="190"/>
    <n v="1"/>
    <n v="18"/>
    <n v="5"/>
    <n v="80"/>
    <n v="25"/>
    <n v="3"/>
    <n v="1"/>
    <n v="0.75"/>
    <n v="44.330855999999997"/>
    <s v="Low Sugar"/>
    <n v="-4"/>
    <x v="1"/>
  </r>
  <r>
    <s v="Rice Chex"/>
    <s v="R"/>
    <s v="C"/>
    <x v="5"/>
    <n v="1"/>
    <n v="0"/>
    <n v="240"/>
    <n v="0"/>
    <n v="23"/>
    <n v="2"/>
    <n v="30"/>
    <n v="25"/>
    <n v="1"/>
    <n v="1"/>
    <n v="1.1299999999999999"/>
    <n v="41.998933000000001"/>
    <s v="Low Sugar"/>
    <n v="-2"/>
    <x v="1"/>
  </r>
  <r>
    <s v="Product 19"/>
    <s v="K"/>
    <s v="C"/>
    <x v="4"/>
    <n v="3"/>
    <n v="0"/>
    <n v="320"/>
    <n v="1"/>
    <n v="20"/>
    <n v="3"/>
    <n v="45"/>
    <n v="100"/>
    <n v="3"/>
    <n v="1"/>
    <n v="1"/>
    <n v="41.503540000000001"/>
    <s v="Low Sugar"/>
    <n v="-2"/>
    <x v="1"/>
  </r>
  <r>
    <s v="Corn Chex"/>
    <s v="R"/>
    <s v="C"/>
    <x v="5"/>
    <n v="2"/>
    <n v="0"/>
    <n v="280"/>
    <n v="0"/>
    <n v="22"/>
    <n v="3"/>
    <n v="25"/>
    <n v="25"/>
    <n v="1"/>
    <n v="1"/>
    <n v="1"/>
    <n v="41.445019000000002"/>
    <s v="Low Sugar"/>
    <n v="-3"/>
    <x v="1"/>
  </r>
  <r>
    <s v="Fruitful Bran"/>
    <s v="K"/>
    <s v="C"/>
    <x v="6"/>
    <n v="3"/>
    <n v="0"/>
    <n v="240"/>
    <n v="5"/>
    <n v="14"/>
    <n v="12"/>
    <n v="190"/>
    <n v="25"/>
    <n v="3"/>
    <n v="1.33"/>
    <n v="0.67"/>
    <n v="41.015492000000002"/>
    <s v="High Sugar"/>
    <n v="-7"/>
    <x v="1"/>
  </r>
  <r>
    <s v="Fruit &amp; Fibre Dates; Walnuts; and Oats"/>
    <s v="P"/>
    <s v="C"/>
    <x v="6"/>
    <n v="3"/>
    <n v="2"/>
    <n v="160"/>
    <n v="5"/>
    <n v="12"/>
    <n v="10"/>
    <n v="200"/>
    <n v="25"/>
    <n v="3"/>
    <n v="1.25"/>
    <n v="0.67"/>
    <n v="40.917046999999997"/>
    <s v="Low Sugar"/>
    <n v="-5"/>
    <x v="1"/>
  </r>
  <r>
    <s v="Nutri-Grain Almond-Raisin"/>
    <s v="K"/>
    <s v="C"/>
    <x v="7"/>
    <n v="3"/>
    <n v="2"/>
    <n v="220"/>
    <n v="3"/>
    <n v="21"/>
    <n v="7"/>
    <n v="130"/>
    <n v="25"/>
    <n v="3"/>
    <n v="1.33"/>
    <n v="0.67"/>
    <n v="40.692320000000002"/>
    <s v="Low Sugar"/>
    <n v="-4"/>
    <x v="1"/>
  </r>
  <r>
    <s v="Rice Krispies"/>
    <s v="K"/>
    <s v="C"/>
    <x v="5"/>
    <n v="2"/>
    <n v="0"/>
    <n v="290"/>
    <n v="0"/>
    <n v="22"/>
    <n v="3"/>
    <n v="35"/>
    <n v="25"/>
    <n v="1"/>
    <n v="1"/>
    <n v="1"/>
    <n v="40.560158999999999"/>
    <s v="Low Sugar"/>
    <n v="-3"/>
    <x v="1"/>
  </r>
  <r>
    <s v="Cracklin' Oat Bran"/>
    <s v="K"/>
    <s v="C"/>
    <x v="5"/>
    <n v="3"/>
    <n v="3"/>
    <n v="140"/>
    <n v="4"/>
    <n v="10"/>
    <n v="7"/>
    <n v="160"/>
    <n v="25"/>
    <n v="3"/>
    <n v="1"/>
    <n v="0.5"/>
    <n v="40.448771999999998"/>
    <s v="Low Sugar"/>
    <n v="-3"/>
    <x v="1"/>
  </r>
  <r>
    <s v="Clusters"/>
    <s v="G"/>
    <s v="C"/>
    <x v="5"/>
    <n v="3"/>
    <n v="2"/>
    <n v="140"/>
    <n v="2"/>
    <n v="13"/>
    <n v="7"/>
    <n v="105"/>
    <n v="25"/>
    <n v="3"/>
    <n v="1"/>
    <n v="0.5"/>
    <n v="40.400207999999999"/>
    <s v="Low Sugar"/>
    <n v="-5"/>
    <x v="1"/>
  </r>
  <r>
    <s v="Multi-Grain Cheerios"/>
    <s v="G"/>
    <s v="C"/>
    <x v="4"/>
    <n v="2"/>
    <n v="1"/>
    <n v="220"/>
    <n v="2"/>
    <n v="15"/>
    <n v="6"/>
    <n v="90"/>
    <n v="25"/>
    <n v="1"/>
    <n v="1"/>
    <n v="1"/>
    <n v="40.105964999999998"/>
    <s v="Low Sugar"/>
    <n v="-4"/>
    <x v="1"/>
  </r>
  <r>
    <s v="Raisin Nut Bran"/>
    <s v="G"/>
    <s v="C"/>
    <x v="4"/>
    <n v="3"/>
    <n v="2"/>
    <n v="140"/>
    <n v="2.5"/>
    <n v="10.5"/>
    <n v="8"/>
    <n v="140"/>
    <n v="25"/>
    <n v="3"/>
    <n v="1"/>
    <n v="0.5"/>
    <n v="39.703400000000002"/>
    <s v="Low Sugar"/>
    <n v="-5.5"/>
    <x v="1"/>
  </r>
  <r>
    <s v="Raisin Bran"/>
    <s v="K"/>
    <s v="C"/>
    <x v="6"/>
    <n v="3"/>
    <n v="1"/>
    <n v="210"/>
    <n v="5"/>
    <n v="14"/>
    <n v="12"/>
    <n v="240"/>
    <n v="25"/>
    <n v="2"/>
    <n v="1.33"/>
    <n v="0.75"/>
    <n v="39.259197"/>
    <s v="High Sugar"/>
    <n v="-7"/>
    <x v="1"/>
  </r>
  <r>
    <s v="Kix"/>
    <s v="G"/>
    <s v="C"/>
    <x v="5"/>
    <n v="2"/>
    <n v="1"/>
    <n v="260"/>
    <n v="0"/>
    <n v="21"/>
    <n v="3"/>
    <n v="40"/>
    <n v="25"/>
    <n v="2"/>
    <n v="1"/>
    <n v="1.5"/>
    <n v="39.241114000000003"/>
    <s v="Low Sugar"/>
    <n v="-3"/>
    <x v="1"/>
  </r>
  <r>
    <s v="Triples"/>
    <s v="G"/>
    <s v="C"/>
    <x v="5"/>
    <n v="2"/>
    <n v="1"/>
    <n v="250"/>
    <n v="0"/>
    <n v="21"/>
    <n v="3"/>
    <n v="60"/>
    <n v="25"/>
    <n v="3"/>
    <n v="1"/>
    <n v="0.75"/>
    <n v="39.106174000000003"/>
    <s v="Low Sugar"/>
    <n v="-3"/>
    <x v="1"/>
  </r>
  <r>
    <s v="Total Corn Flakes"/>
    <s v="G"/>
    <s v="C"/>
    <x v="5"/>
    <n v="2"/>
    <n v="1"/>
    <n v="200"/>
    <n v="0"/>
    <n v="21"/>
    <n v="3"/>
    <n v="35"/>
    <n v="100"/>
    <n v="3"/>
    <n v="1"/>
    <n v="1"/>
    <n v="38.839745999999998"/>
    <s v="Low Sugar"/>
    <n v="-3"/>
    <x v="1"/>
  </r>
  <r>
    <s v="Post Nat. Raisin Bran"/>
    <s v="P"/>
    <s v="C"/>
    <x v="6"/>
    <n v="3"/>
    <n v="1"/>
    <n v="200"/>
    <n v="6"/>
    <n v="11"/>
    <n v="14"/>
    <n v="260"/>
    <n v="25"/>
    <n v="3"/>
    <n v="1.33"/>
    <n v="0.67"/>
    <n v="37.840594000000003"/>
    <s v="High Sugar"/>
    <n v="-8"/>
    <x v="0"/>
  </r>
  <r>
    <s v="Muesli Raisins; Dates; &amp; Almonds"/>
    <s v="R"/>
    <s v="C"/>
    <x v="8"/>
    <n v="4"/>
    <n v="3"/>
    <n v="95"/>
    <n v="3"/>
    <n v="16"/>
    <n v="11"/>
    <n v="170"/>
    <n v="25"/>
    <n v="3"/>
    <n v="1"/>
    <n v="1"/>
    <n v="37.136862999999998"/>
    <s v="High Sugar"/>
    <n v="-8"/>
    <x v="1"/>
  </r>
  <r>
    <s v="Basic 4"/>
    <s v="G"/>
    <s v="C"/>
    <x v="9"/>
    <n v="3"/>
    <n v="2"/>
    <n v="210"/>
    <n v="2"/>
    <n v="18"/>
    <n v="8"/>
    <n v="100"/>
    <n v="25"/>
    <n v="3"/>
    <n v="1.33"/>
    <n v="0.75"/>
    <n v="37.038561999999999"/>
    <s v="Low Sugar"/>
    <n v="-6"/>
    <x v="1"/>
  </r>
  <r>
    <s v="Just Right Crunchy  Nuggets"/>
    <s v="K"/>
    <s v="C"/>
    <x v="5"/>
    <n v="2"/>
    <n v="1"/>
    <n v="170"/>
    <n v="1"/>
    <n v="17"/>
    <n v="6"/>
    <n v="60"/>
    <n v="100"/>
    <n v="3"/>
    <n v="1"/>
    <n v="1"/>
    <n v="36.523682999999998"/>
    <s v="Low Sugar"/>
    <n v="-5"/>
    <x v="1"/>
  </r>
  <r>
    <s v="Just Right Fruit &amp; Nut"/>
    <s v="K"/>
    <s v="C"/>
    <x v="7"/>
    <n v="3"/>
    <n v="1"/>
    <n v="170"/>
    <n v="2"/>
    <n v="20"/>
    <n v="9"/>
    <n v="95"/>
    <n v="100"/>
    <n v="3"/>
    <n v="1.3"/>
    <n v="0.75"/>
    <n v="36.471511999999997"/>
    <s v="Low Sugar"/>
    <n v="-7"/>
    <x v="1"/>
  </r>
  <r>
    <s v="Wheaties Honey Gold"/>
    <s v="G"/>
    <s v="C"/>
    <x v="5"/>
    <n v="2"/>
    <n v="1"/>
    <n v="200"/>
    <n v="1"/>
    <n v="16"/>
    <n v="8"/>
    <n v="60"/>
    <n v="25"/>
    <n v="1"/>
    <n v="1"/>
    <n v="0.75"/>
    <n v="36.187559"/>
    <s v="Low Sugar"/>
    <n v="-7"/>
    <x v="1"/>
  </r>
  <r>
    <s v="Crispy Wheat &amp; Raisins"/>
    <s v="G"/>
    <s v="C"/>
    <x v="4"/>
    <n v="2"/>
    <n v="1"/>
    <n v="140"/>
    <n v="2"/>
    <n v="11"/>
    <n v="10"/>
    <n v="120"/>
    <n v="25"/>
    <n v="3"/>
    <n v="1"/>
    <n v="0.75"/>
    <n v="36.176195999999997"/>
    <s v="Low Sugar"/>
    <n v="-8"/>
    <x v="1"/>
  </r>
  <r>
    <s v="Corn Pops"/>
    <s v="K"/>
    <s v="C"/>
    <x v="5"/>
    <n v="1"/>
    <n v="0"/>
    <n v="90"/>
    <n v="1"/>
    <n v="13"/>
    <n v="12"/>
    <n v="20"/>
    <n v="25"/>
    <n v="2"/>
    <n v="1"/>
    <n v="1"/>
    <n v="35.782791000000003"/>
    <s v="High Sugar"/>
    <n v="-11"/>
    <x v="1"/>
  </r>
  <r>
    <s v="Golden Crisp"/>
    <s v="P"/>
    <s v="C"/>
    <x v="4"/>
    <n v="2"/>
    <n v="0"/>
    <n v="45"/>
    <n v="0"/>
    <n v="11"/>
    <n v="15"/>
    <n v="40"/>
    <n v="25"/>
    <n v="1"/>
    <n v="1"/>
    <n v="0.88"/>
    <n v="35.252443999999997"/>
    <s v="High Sugar"/>
    <n v="-15"/>
    <x v="1"/>
  </r>
  <r>
    <s v="Almond Delight"/>
    <s v="R"/>
    <s v="C"/>
    <x v="5"/>
    <n v="2"/>
    <n v="2"/>
    <n v="200"/>
    <n v="1"/>
    <n v="14"/>
    <n v="8"/>
    <n v="-1"/>
    <n v="25"/>
    <n v="3"/>
    <n v="1"/>
    <n v="0.75"/>
    <n v="34.384842999999996"/>
    <s v="Low Sugar"/>
    <n v="-7"/>
    <x v="1"/>
  </r>
  <r>
    <s v="Muesli Raisins; Peaches; &amp; Pecans"/>
    <s v="R"/>
    <s v="C"/>
    <x v="8"/>
    <n v="4"/>
    <n v="3"/>
    <n v="150"/>
    <n v="3"/>
    <n v="16"/>
    <n v="11"/>
    <n v="170"/>
    <n v="25"/>
    <n v="3"/>
    <n v="1"/>
    <n v="1"/>
    <n v="34.139764999999997"/>
    <s v="High Sugar"/>
    <n v="-8"/>
    <x v="1"/>
  </r>
  <r>
    <s v="100% Natural Bran"/>
    <s v="Q"/>
    <s v="C"/>
    <x v="6"/>
    <n v="3"/>
    <n v="5"/>
    <n v="15"/>
    <n v="2"/>
    <n v="8"/>
    <n v="8"/>
    <n v="135"/>
    <n v="0"/>
    <n v="3"/>
    <n v="1"/>
    <n v="1"/>
    <n v="33.983679000000002"/>
    <s v="Low Sugar"/>
    <n v="-6"/>
    <x v="1"/>
  </r>
  <r>
    <s v="Apple Jacks"/>
    <s v="K"/>
    <s v="C"/>
    <x v="5"/>
    <n v="2"/>
    <n v="0"/>
    <n v="125"/>
    <n v="1"/>
    <n v="11"/>
    <n v="14"/>
    <n v="30"/>
    <n v="25"/>
    <n v="2"/>
    <n v="1"/>
    <n v="1"/>
    <n v="33.174093999999997"/>
    <s v="High Sugar"/>
    <n v="-13"/>
    <x v="1"/>
  </r>
  <r>
    <s v="Froot Loops"/>
    <s v="K"/>
    <s v="C"/>
    <x v="5"/>
    <n v="2"/>
    <n v="1"/>
    <n v="125"/>
    <n v="1"/>
    <n v="11"/>
    <n v="13"/>
    <n v="30"/>
    <n v="25"/>
    <n v="2"/>
    <n v="1"/>
    <n v="1"/>
    <n v="32.207582000000002"/>
    <s v="High Sugar"/>
    <n v="-12"/>
    <x v="1"/>
  </r>
  <r>
    <s v="Frosted Flakes"/>
    <s v="K"/>
    <s v="C"/>
    <x v="5"/>
    <n v="1"/>
    <n v="0"/>
    <n v="200"/>
    <n v="1"/>
    <n v="14"/>
    <n v="11"/>
    <n v="25"/>
    <n v="25"/>
    <n v="1"/>
    <n v="1"/>
    <n v="0.75"/>
    <n v="31.435973000000001"/>
    <s v="High Sugar"/>
    <n v="-10"/>
    <x v="1"/>
  </r>
  <r>
    <s v="Smacks"/>
    <s v="K"/>
    <s v="C"/>
    <x v="5"/>
    <n v="2"/>
    <n v="1"/>
    <n v="70"/>
    <n v="1"/>
    <n v="9"/>
    <n v="15"/>
    <n v="40"/>
    <n v="25"/>
    <n v="2"/>
    <n v="1"/>
    <n v="0.75"/>
    <n v="31.230053999999999"/>
    <s v="High Sugar"/>
    <n v="-14"/>
    <x v="1"/>
  </r>
  <r>
    <s v="Honey Nut Cheerios"/>
    <s v="G"/>
    <s v="C"/>
    <x v="5"/>
    <n v="3"/>
    <n v="1"/>
    <n v="250"/>
    <n v="1.5"/>
    <n v="11.5"/>
    <n v="10"/>
    <n v="90"/>
    <n v="25"/>
    <n v="1"/>
    <n v="1"/>
    <n v="0.75"/>
    <n v="31.072216999999998"/>
    <s v="Low Sugar"/>
    <n v="-8.5"/>
    <x v="1"/>
  </r>
  <r>
    <s v="Oatmeal Raisin Crisp"/>
    <s v="G"/>
    <s v="C"/>
    <x v="9"/>
    <n v="3"/>
    <n v="2"/>
    <n v="170"/>
    <n v="1.5"/>
    <n v="13.5"/>
    <n v="10"/>
    <n v="120"/>
    <n v="25"/>
    <n v="3"/>
    <n v="1.25"/>
    <n v="0.5"/>
    <n v="30.450842999999999"/>
    <s v="Low Sugar"/>
    <n v="-8.5"/>
    <x v="1"/>
  </r>
  <r>
    <s v="Mueslix Crispy Blend"/>
    <s v="K"/>
    <s v="C"/>
    <x v="10"/>
    <n v="3"/>
    <n v="2"/>
    <n v="150"/>
    <n v="3"/>
    <n v="17"/>
    <n v="13"/>
    <n v="160"/>
    <n v="25"/>
    <n v="3"/>
    <n v="1.5"/>
    <n v="0.67"/>
    <n v="30.313351000000001"/>
    <s v="High Sugar"/>
    <n v="-10"/>
    <x v="1"/>
  </r>
  <r>
    <s v="Nut&amp;Honey Crunch"/>
    <s v="K"/>
    <s v="C"/>
    <x v="6"/>
    <n v="2"/>
    <n v="1"/>
    <n v="190"/>
    <n v="0"/>
    <n v="15"/>
    <n v="9"/>
    <n v="40"/>
    <n v="25"/>
    <n v="2"/>
    <n v="1"/>
    <n v="0.67"/>
    <n v="29.924285000000001"/>
    <s v="Low Sugar"/>
    <n v="-9"/>
    <x v="1"/>
  </r>
  <r>
    <s v="Apple Cinnamon Cheerios"/>
    <s v="G"/>
    <s v="C"/>
    <x v="5"/>
    <n v="2"/>
    <n v="2"/>
    <n v="180"/>
    <n v="1.5"/>
    <n v="10.5"/>
    <n v="10"/>
    <n v="70"/>
    <n v="25"/>
    <n v="1"/>
    <n v="1"/>
    <n v="0.75"/>
    <n v="29.509540999999999"/>
    <s v="Low Sugar"/>
    <n v="-8.5"/>
    <x v="1"/>
  </r>
  <r>
    <s v="Honey-comb"/>
    <s v="P"/>
    <s v="C"/>
    <x v="5"/>
    <n v="1"/>
    <n v="0"/>
    <n v="180"/>
    <n v="0"/>
    <n v="14"/>
    <n v="11"/>
    <n v="35"/>
    <n v="25"/>
    <n v="1"/>
    <n v="1"/>
    <n v="1.33"/>
    <n v="28.742414"/>
    <s v="High Sugar"/>
    <n v="-11"/>
    <x v="1"/>
  </r>
  <r>
    <s v="Total Raisin Bran"/>
    <s v="G"/>
    <s v="C"/>
    <x v="7"/>
    <n v="3"/>
    <n v="1"/>
    <n v="190"/>
    <n v="4"/>
    <n v="15"/>
    <n v="14"/>
    <n v="230"/>
    <n v="100"/>
    <n v="3"/>
    <n v="1.5"/>
    <n v="1"/>
    <n v="28.592784999999999"/>
    <s v="High Sugar"/>
    <n v="-10"/>
    <x v="1"/>
  </r>
  <r>
    <s v="Fruity Pebbles"/>
    <s v="P"/>
    <s v="C"/>
    <x v="5"/>
    <n v="1"/>
    <n v="1"/>
    <n v="135"/>
    <n v="0"/>
    <n v="13"/>
    <n v="12"/>
    <n v="25"/>
    <n v="25"/>
    <n v="2"/>
    <n v="1"/>
    <n v="0.75"/>
    <n v="28.025765"/>
    <s v="High Sugar"/>
    <n v="-12"/>
    <x v="1"/>
  </r>
  <r>
    <s v="Trix"/>
    <s v="G"/>
    <s v="C"/>
    <x v="5"/>
    <n v="1"/>
    <n v="1"/>
    <n v="140"/>
    <n v="0"/>
    <n v="13"/>
    <n v="12"/>
    <n v="25"/>
    <n v="25"/>
    <n v="2"/>
    <n v="1"/>
    <n v="1"/>
    <n v="27.753301"/>
    <s v="High Sugar"/>
    <n v="-12"/>
    <x v="1"/>
  </r>
  <r>
    <s v="Lucky Charms"/>
    <s v="G"/>
    <s v="C"/>
    <x v="5"/>
    <n v="2"/>
    <n v="1"/>
    <n v="180"/>
    <n v="0"/>
    <n v="12"/>
    <n v="12"/>
    <n v="55"/>
    <n v="25"/>
    <n v="2"/>
    <n v="1"/>
    <n v="1"/>
    <n v="26.734514999999998"/>
    <s v="High Sugar"/>
    <n v="-12"/>
    <x v="1"/>
  </r>
  <r>
    <s v="Golden Grahams"/>
    <s v="G"/>
    <s v="C"/>
    <x v="5"/>
    <n v="1"/>
    <n v="1"/>
    <n v="280"/>
    <n v="0"/>
    <n v="15"/>
    <n v="9"/>
    <n v="45"/>
    <n v="25"/>
    <n v="2"/>
    <n v="1"/>
    <n v="0.75"/>
    <n v="23.804043"/>
    <s v="Low Sugar"/>
    <n v="-9"/>
    <x v="1"/>
  </r>
  <r>
    <s v="Cocoa Puffs"/>
    <s v="G"/>
    <s v="C"/>
    <x v="5"/>
    <n v="1"/>
    <n v="1"/>
    <n v="180"/>
    <n v="0"/>
    <n v="12"/>
    <n v="13"/>
    <n v="55"/>
    <n v="25"/>
    <n v="2"/>
    <n v="1"/>
    <n v="1"/>
    <n v="22.736446000000001"/>
    <s v="High Sugar"/>
    <n v="-13"/>
    <x v="1"/>
  </r>
  <r>
    <s v="Count Chocula"/>
    <s v="G"/>
    <s v="C"/>
    <x v="5"/>
    <n v="1"/>
    <n v="1"/>
    <n v="180"/>
    <n v="0"/>
    <n v="12"/>
    <n v="13"/>
    <n v="65"/>
    <n v="25"/>
    <n v="2"/>
    <n v="1"/>
    <n v="1"/>
    <n v="22.396512999999999"/>
    <s v="High Sugar"/>
    <n v="-13"/>
    <x v="1"/>
  </r>
  <r>
    <s v="Honey Graham Ohs"/>
    <s v="Q"/>
    <s v="C"/>
    <x v="6"/>
    <n v="1"/>
    <n v="2"/>
    <n v="220"/>
    <n v="1"/>
    <n v="12"/>
    <n v="11"/>
    <n v="45"/>
    <n v="25"/>
    <n v="2"/>
    <n v="1"/>
    <n v="1"/>
    <n v="21.871292"/>
    <s v="High Sugar"/>
    <n v="-10"/>
    <x v="1"/>
  </r>
  <r>
    <s v="Cinnamon Toast Crunch"/>
    <s v="G"/>
    <s v="C"/>
    <x v="6"/>
    <n v="1"/>
    <n v="3"/>
    <n v="210"/>
    <n v="0"/>
    <n v="13"/>
    <n v="9"/>
    <n v="45"/>
    <n v="25"/>
    <n v="2"/>
    <n v="1"/>
    <n v="0.75"/>
    <n v="19.823573"/>
    <s v="Low Sugar"/>
    <n v="-9"/>
    <x v="1"/>
  </r>
  <r>
    <s v="Cap'n'Crunch"/>
    <s v="Q"/>
    <s v="C"/>
    <x v="6"/>
    <n v="1"/>
    <n v="2"/>
    <n v="220"/>
    <n v="0"/>
    <n v="12"/>
    <n v="12"/>
    <n v="35"/>
    <n v="25"/>
    <n v="2"/>
    <n v="1"/>
    <n v="0.75"/>
    <n v="18.042850999999999"/>
    <s v="High Sugar"/>
    <n v="-1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1FDA82-5A3D-4DEC-B4CD-6BC4D45C5F9D}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J21:K33" firstHeaderRow="1" firstDataRow="1" firstDataCol="1"/>
  <pivotFields count="19">
    <pivotField showAll="0"/>
    <pivotField showAll="0"/>
    <pivotField showAll="0"/>
    <pivotField axis="axisRow" showAll="0">
      <items count="12">
        <item x="0"/>
        <item x="2"/>
        <item x="3"/>
        <item x="1"/>
        <item x="4"/>
        <item x="5"/>
        <item x="6"/>
        <item x="9"/>
        <item x="7"/>
        <item x="8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verage of rating" fld="15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48CD3C-E4A7-4432-BE7B-4DB671478688}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5">
  <location ref="J15:K18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18"/>
  </rowFields>
  <rowItems count="3">
    <i>
      <x/>
    </i>
    <i>
      <x v="1"/>
    </i>
    <i t="grand">
      <x/>
    </i>
  </rowItems>
  <colItems count="1">
    <i/>
  </colItems>
  <dataFields count="1">
    <dataField name="Average of rating" fld="15" subtotal="average" baseField="18" baseItem="0"/>
  </dataField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3000000}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3:H16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5"/>
        <item x="4"/>
        <item x="11"/>
        <item x="7"/>
        <item x="9"/>
        <item x="2"/>
        <item x="1"/>
        <item x="8"/>
        <item x="10"/>
        <item x="6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rating" fld="15" subtotal="average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0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7">
        <item x="0"/>
        <item x="6"/>
        <item x="2"/>
        <item x="5"/>
        <item x="7"/>
        <item x="3"/>
        <item x="1"/>
        <item x="4"/>
        <item x="10"/>
        <item x="13"/>
        <item x="9"/>
        <item x="12"/>
        <item x="8"/>
        <item x="15"/>
        <item x="11"/>
        <item x="1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9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Average of rating" fld="15" subtotal="average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0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19:H22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3">
        <item x="1"/>
        <item x="0"/>
        <item t="default"/>
      </items>
    </pivotField>
    <pivotField showAll="0"/>
  </pivotFields>
  <rowFields count="1">
    <field x="16"/>
  </rowFields>
  <rowItems count="3">
    <i>
      <x/>
    </i>
    <i>
      <x v="1"/>
    </i>
    <i t="grand">
      <x/>
    </i>
  </rowItems>
  <colItems count="1">
    <i/>
  </colItems>
  <dataFields count="1">
    <dataField name="Average of rating" fld="15" subtotal="average" baseField="1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3:E20" firstHeaderRow="1" firstDataRow="1" firstDataCol="1"/>
  <pivotFields count="18">
    <pivotField showAll="0"/>
    <pivotField showAll="0"/>
    <pivotField showAll="0"/>
    <pivotField dataField="1" showAll="0"/>
    <pivotField showAll="0"/>
    <pivotField showAll="0"/>
    <pivotField showAll="0"/>
    <pivotField showAll="0">
      <items count="13">
        <item x="5"/>
        <item x="4"/>
        <item x="11"/>
        <item x="7"/>
        <item x="9"/>
        <item x="2"/>
        <item x="1"/>
        <item x="8"/>
        <item x="10"/>
        <item x="6"/>
        <item x="3"/>
        <item x="0"/>
        <item t="default"/>
      </items>
    </pivotField>
    <pivotField showAll="0"/>
    <pivotField axis="axisRow" showAll="0">
      <items count="17">
        <item x="0"/>
        <item x="6"/>
        <item x="2"/>
        <item x="5"/>
        <item x="7"/>
        <item x="3"/>
        <item x="1"/>
        <item x="4"/>
        <item x="10"/>
        <item x="13"/>
        <item x="9"/>
        <item x="12"/>
        <item x="8"/>
        <item x="15"/>
        <item x="11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Average of calories" fld="3" subtotal="average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4000000}" name="PivotTable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J3:K11" firstHeaderRow="1" firstDataRow="1" firstDataCol="1"/>
  <pivotFields count="18">
    <pivotField showAll="0"/>
    <pivotField axis="axisRow" showAll="0">
      <items count="8">
        <item x="3"/>
        <item x="5"/>
        <item x="0"/>
        <item x="1"/>
        <item x="4"/>
        <item x="2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rating" fld="15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B21:C24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3">
        <item x="1"/>
        <item x="0"/>
        <item t="default"/>
      </items>
    </pivotField>
    <pivotField showAll="0"/>
  </pivotFields>
  <rowFields count="1">
    <field x="16"/>
  </rowFields>
  <rowItems count="3">
    <i>
      <x/>
    </i>
    <i>
      <x v="1"/>
    </i>
    <i t="grand">
      <x/>
    </i>
  </rowItems>
  <colItems count="1">
    <i/>
  </colItems>
  <dataFields count="1">
    <dataField name="Average of rating" fld="15" subtotal="average" baseField="16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8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33"/>
  <sheetViews>
    <sheetView topLeftCell="A4" workbookViewId="0">
      <selection activeCell="B14" sqref="B14"/>
    </sheetView>
  </sheetViews>
  <sheetFormatPr defaultRowHeight="14.4" x14ac:dyDescent="0.3"/>
  <cols>
    <col min="1" max="1" width="12.5546875" bestFit="1" customWidth="1"/>
    <col min="2" max="2" width="15.5546875" bestFit="1" customWidth="1"/>
    <col min="4" max="4" width="14.33203125" bestFit="1" customWidth="1"/>
    <col min="5" max="5" width="17" bestFit="1" customWidth="1"/>
    <col min="7" max="7" width="17.6640625" bestFit="1" customWidth="1"/>
    <col min="8" max="8" width="15.5546875" bestFit="1" customWidth="1"/>
    <col min="10" max="10" width="19.77734375" bestFit="1" customWidth="1"/>
    <col min="11" max="11" width="15.5546875" bestFit="1" customWidth="1"/>
  </cols>
  <sheetData>
    <row r="2" spans="1:11" x14ac:dyDescent="0.3">
      <c r="A2" s="1" t="s">
        <v>112</v>
      </c>
      <c r="D2" s="1" t="s">
        <v>113</v>
      </c>
      <c r="G2" s="1" t="s">
        <v>114</v>
      </c>
      <c r="J2" s="1" t="s">
        <v>116</v>
      </c>
    </row>
    <row r="3" spans="1:11" x14ac:dyDescent="0.3">
      <c r="A3" s="2" t="s">
        <v>103</v>
      </c>
      <c r="B3" t="s">
        <v>107</v>
      </c>
      <c r="D3" s="2" t="s">
        <v>103</v>
      </c>
      <c r="E3" t="s">
        <v>108</v>
      </c>
      <c r="G3" s="2" t="s">
        <v>103</v>
      </c>
      <c r="H3" t="s">
        <v>107</v>
      </c>
      <c r="J3" s="2" t="s">
        <v>103</v>
      </c>
      <c r="K3" t="s">
        <v>107</v>
      </c>
    </row>
    <row r="4" spans="1:11" x14ac:dyDescent="0.3">
      <c r="A4" s="3">
        <v>0</v>
      </c>
      <c r="B4" s="4">
        <v>71.073015142857145</v>
      </c>
      <c r="D4" s="3">
        <v>0</v>
      </c>
      <c r="E4" s="4">
        <v>72.857142857142861</v>
      </c>
      <c r="G4" s="3">
        <v>0</v>
      </c>
      <c r="H4" s="4">
        <v>33.686017052631584</v>
      </c>
      <c r="J4" s="3" t="s">
        <v>68</v>
      </c>
      <c r="K4" s="4">
        <v>54.850917000000003</v>
      </c>
    </row>
    <row r="5" spans="1:11" x14ac:dyDescent="0.3">
      <c r="A5" s="3">
        <v>1</v>
      </c>
      <c r="B5" s="4">
        <v>50.764999000000003</v>
      </c>
      <c r="D5" s="3">
        <v>1</v>
      </c>
      <c r="E5" s="4">
        <v>110</v>
      </c>
      <c r="G5" s="3">
        <v>1</v>
      </c>
      <c r="H5" s="4">
        <v>40.753876250000005</v>
      </c>
      <c r="J5" s="3" t="s">
        <v>27</v>
      </c>
      <c r="K5" s="4">
        <v>34.485851681818183</v>
      </c>
    </row>
    <row r="6" spans="1:11" x14ac:dyDescent="0.3">
      <c r="A6" s="3">
        <v>2</v>
      </c>
      <c r="B6" s="4">
        <v>49.168364666666662</v>
      </c>
      <c r="D6" s="3">
        <v>2</v>
      </c>
      <c r="E6" s="4">
        <v>100</v>
      </c>
      <c r="G6" s="3">
        <v>1.5</v>
      </c>
      <c r="H6" s="4">
        <v>30.344200333333333</v>
      </c>
      <c r="J6" s="3" t="s">
        <v>22</v>
      </c>
      <c r="K6" s="4">
        <v>44.038462347826083</v>
      </c>
    </row>
    <row r="7" spans="1:11" x14ac:dyDescent="0.3">
      <c r="A7" s="3">
        <v>3</v>
      </c>
      <c r="B7" s="4">
        <v>45.921778923076921</v>
      </c>
      <c r="D7" s="3">
        <v>3</v>
      </c>
      <c r="E7" s="4">
        <v>106.15384615384616</v>
      </c>
      <c r="G7" s="3">
        <v>2</v>
      </c>
      <c r="H7" s="4">
        <v>42.5114211</v>
      </c>
      <c r="J7" s="3" t="s">
        <v>17</v>
      </c>
      <c r="K7" s="4">
        <v>67.968567166666659</v>
      </c>
    </row>
    <row r="8" spans="1:11" x14ac:dyDescent="0.3">
      <c r="A8" s="3">
        <v>4</v>
      </c>
      <c r="B8" s="4">
        <v>45.811715999999997</v>
      </c>
      <c r="D8" s="3">
        <v>4</v>
      </c>
      <c r="E8" s="4">
        <v>120</v>
      </c>
      <c r="G8" s="3">
        <v>2.5</v>
      </c>
      <c r="H8" s="4">
        <v>39.703400000000002</v>
      </c>
      <c r="J8" s="3" t="s">
        <v>32</v>
      </c>
      <c r="K8" s="4">
        <v>41.705744111111109</v>
      </c>
    </row>
    <row r="9" spans="1:11" x14ac:dyDescent="0.3">
      <c r="A9" s="3">
        <v>5</v>
      </c>
      <c r="B9" s="4">
        <v>53.702212800000005</v>
      </c>
      <c r="D9" s="3">
        <v>5</v>
      </c>
      <c r="E9" s="4">
        <v>90</v>
      </c>
      <c r="G9" s="3">
        <v>3</v>
      </c>
      <c r="H9" s="4">
        <v>50.664669600000003</v>
      </c>
      <c r="J9" s="3" t="s">
        <v>20</v>
      </c>
      <c r="K9" s="4">
        <v>41.785646714285704</v>
      </c>
    </row>
    <row r="10" spans="1:11" x14ac:dyDescent="0.3">
      <c r="A10" s="3">
        <v>6</v>
      </c>
      <c r="B10" s="4">
        <v>49.18942342857143</v>
      </c>
      <c r="D10" s="3">
        <v>6</v>
      </c>
      <c r="E10" s="4">
        <v>94.285714285714292</v>
      </c>
      <c r="G10" s="3">
        <v>4</v>
      </c>
      <c r="H10" s="4">
        <v>48.158689749999994</v>
      </c>
      <c r="J10" s="3" t="s">
        <v>25</v>
      </c>
      <c r="K10" s="4">
        <v>41.542997124999999</v>
      </c>
    </row>
    <row r="11" spans="1:11" x14ac:dyDescent="0.3">
      <c r="A11" s="3">
        <v>7</v>
      </c>
      <c r="B11" s="4">
        <v>44.971610249999998</v>
      </c>
      <c r="D11" s="3">
        <v>7</v>
      </c>
      <c r="E11" s="4">
        <v>115</v>
      </c>
      <c r="G11" s="3">
        <v>5</v>
      </c>
      <c r="H11" s="4">
        <v>43.626387250000001</v>
      </c>
      <c r="J11" s="3" t="s">
        <v>106</v>
      </c>
      <c r="K11" s="4">
        <v>42.558301210526317</v>
      </c>
    </row>
    <row r="12" spans="1:11" x14ac:dyDescent="0.3">
      <c r="A12" s="3">
        <v>8</v>
      </c>
      <c r="B12" s="4">
        <v>36.259608599999993</v>
      </c>
      <c r="D12" s="3">
        <v>8</v>
      </c>
      <c r="E12" s="4">
        <v>114</v>
      </c>
      <c r="G12" s="3">
        <v>6</v>
      </c>
      <c r="H12" s="4">
        <v>37.840594000000003</v>
      </c>
    </row>
    <row r="13" spans="1:11" x14ac:dyDescent="0.3">
      <c r="A13" s="3">
        <v>9</v>
      </c>
      <c r="B13" s="4">
        <v>27.505853249999998</v>
      </c>
      <c r="D13" s="3">
        <v>9</v>
      </c>
      <c r="E13" s="4">
        <v>122.5</v>
      </c>
      <c r="G13" s="3">
        <v>9</v>
      </c>
      <c r="H13" s="4">
        <v>59.425505000000001</v>
      </c>
    </row>
    <row r="14" spans="1:11" x14ac:dyDescent="0.3">
      <c r="A14" s="3">
        <v>10</v>
      </c>
      <c r="B14" s="4">
        <v>33.625168799999997</v>
      </c>
      <c r="D14" s="3">
        <v>10</v>
      </c>
      <c r="E14" s="4">
        <v>114</v>
      </c>
      <c r="G14" s="3">
        <v>10</v>
      </c>
      <c r="H14" s="4">
        <v>68.402973000000003</v>
      </c>
      <c r="J14" s="5" t="s">
        <v>114</v>
      </c>
    </row>
    <row r="15" spans="1:11" x14ac:dyDescent="0.3">
      <c r="A15" s="3">
        <v>11</v>
      </c>
      <c r="B15" s="4">
        <v>30.665261400000002</v>
      </c>
      <c r="D15" s="3">
        <v>11</v>
      </c>
      <c r="E15" s="4">
        <v>128</v>
      </c>
      <c r="G15" s="3">
        <v>14</v>
      </c>
      <c r="H15" s="4">
        <v>93.704911999999993</v>
      </c>
      <c r="J15" s="2" t="s">
        <v>103</v>
      </c>
      <c r="K15" t="s">
        <v>107</v>
      </c>
    </row>
    <row r="16" spans="1:11" x14ac:dyDescent="0.3">
      <c r="A16" s="3">
        <v>12</v>
      </c>
      <c r="B16" s="4">
        <v>30.944844571428568</v>
      </c>
      <c r="D16" s="3">
        <v>12</v>
      </c>
      <c r="E16" s="4">
        <v>114.28571428571429</v>
      </c>
      <c r="G16" s="3" t="s">
        <v>106</v>
      </c>
      <c r="H16" s="4">
        <v>42.558301210526317</v>
      </c>
      <c r="J16" s="3" t="s">
        <v>110</v>
      </c>
      <c r="K16" s="4">
        <v>64.843496000000002</v>
      </c>
    </row>
    <row r="17" spans="1:11" x14ac:dyDescent="0.3">
      <c r="A17" s="3">
        <v>13</v>
      </c>
      <c r="B17" s="4">
        <v>26.913473</v>
      </c>
      <c r="D17" s="3">
        <v>13</v>
      </c>
      <c r="E17" s="4">
        <v>122.5</v>
      </c>
      <c r="J17" s="3" t="s">
        <v>111</v>
      </c>
      <c r="K17" s="4">
        <v>41.32023483333333</v>
      </c>
    </row>
    <row r="18" spans="1:11" x14ac:dyDescent="0.3">
      <c r="A18" s="3">
        <v>14</v>
      </c>
      <c r="B18" s="4">
        <v>33.202491000000002</v>
      </c>
      <c r="D18" s="3">
        <v>14</v>
      </c>
      <c r="E18" s="4">
        <v>123.33333333333333</v>
      </c>
      <c r="G18" s="1" t="s">
        <v>115</v>
      </c>
      <c r="J18" s="3" t="s">
        <v>106</v>
      </c>
      <c r="K18" s="4">
        <v>42.558301210526309</v>
      </c>
    </row>
    <row r="19" spans="1:11" x14ac:dyDescent="0.3">
      <c r="A19" s="3">
        <v>15</v>
      </c>
      <c r="B19" s="4">
        <v>33.241248999999996</v>
      </c>
      <c r="D19" s="3">
        <v>15</v>
      </c>
      <c r="E19" s="4">
        <v>105</v>
      </c>
      <c r="G19" s="2" t="s">
        <v>103</v>
      </c>
      <c r="H19" t="s">
        <v>107</v>
      </c>
    </row>
    <row r="20" spans="1:11" x14ac:dyDescent="0.3">
      <c r="A20" s="3" t="s">
        <v>106</v>
      </c>
      <c r="B20" s="4">
        <v>42.558301210526302</v>
      </c>
      <c r="D20" s="3" t="s">
        <v>106</v>
      </c>
      <c r="E20" s="4">
        <v>106.97368421052632</v>
      </c>
      <c r="G20" s="3" t="s">
        <v>104</v>
      </c>
      <c r="H20" s="4">
        <v>30.651622952380951</v>
      </c>
      <c r="J20" s="5" t="s">
        <v>117</v>
      </c>
    </row>
    <row r="21" spans="1:11" x14ac:dyDescent="0.3">
      <c r="G21" s="3" t="s">
        <v>105</v>
      </c>
      <c r="H21" s="4">
        <v>47.104487454545449</v>
      </c>
      <c r="J21" s="2" t="s">
        <v>103</v>
      </c>
      <c r="K21" t="s">
        <v>107</v>
      </c>
    </row>
    <row r="22" spans="1:11" x14ac:dyDescent="0.3">
      <c r="G22" s="3" t="s">
        <v>106</v>
      </c>
      <c r="H22" s="4">
        <v>42.558301210526324</v>
      </c>
      <c r="J22" s="3">
        <v>50</v>
      </c>
      <c r="K22" s="4">
        <v>72.488889666666665</v>
      </c>
    </row>
    <row r="23" spans="1:11" x14ac:dyDescent="0.3">
      <c r="J23" s="3">
        <v>70</v>
      </c>
      <c r="K23" s="4">
        <v>63.914239000000002</v>
      </c>
    </row>
    <row r="24" spans="1:11" x14ac:dyDescent="0.3">
      <c r="J24" s="3">
        <v>80</v>
      </c>
      <c r="K24" s="4">
        <v>68.235884999999996</v>
      </c>
    </row>
    <row r="25" spans="1:11" x14ac:dyDescent="0.3">
      <c r="J25" s="3">
        <v>90</v>
      </c>
      <c r="K25" s="4">
        <v>60.578396285714284</v>
      </c>
    </row>
    <row r="26" spans="1:11" x14ac:dyDescent="0.3">
      <c r="J26" s="3">
        <v>100</v>
      </c>
      <c r="K26" s="4">
        <v>47.226307874999996</v>
      </c>
    </row>
    <row r="27" spans="1:11" x14ac:dyDescent="0.3">
      <c r="J27" s="3">
        <v>110</v>
      </c>
      <c r="K27" s="4">
        <v>35.789808034482753</v>
      </c>
    </row>
    <row r="28" spans="1:11" x14ac:dyDescent="0.3">
      <c r="J28" s="3">
        <v>120</v>
      </c>
      <c r="K28" s="4">
        <v>32.848972599999996</v>
      </c>
    </row>
    <row r="29" spans="1:11" x14ac:dyDescent="0.3">
      <c r="J29" s="3">
        <v>130</v>
      </c>
      <c r="K29" s="4">
        <v>33.744702500000002</v>
      </c>
    </row>
    <row r="30" spans="1:11" x14ac:dyDescent="0.3">
      <c r="J30" s="3">
        <v>140</v>
      </c>
      <c r="K30" s="4">
        <v>35.252205666666669</v>
      </c>
    </row>
    <row r="31" spans="1:11" x14ac:dyDescent="0.3">
      <c r="J31" s="3">
        <v>150</v>
      </c>
      <c r="K31" s="4">
        <v>35.638313999999994</v>
      </c>
    </row>
    <row r="32" spans="1:11" x14ac:dyDescent="0.3">
      <c r="J32" s="3">
        <v>160</v>
      </c>
      <c r="K32" s="4">
        <v>30.313351000000001</v>
      </c>
    </row>
    <row r="33" spans="10:11" x14ac:dyDescent="0.3">
      <c r="J33" s="3" t="s">
        <v>106</v>
      </c>
      <c r="K33" s="4">
        <v>42.558301210526309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24"/>
  <sheetViews>
    <sheetView tabSelected="1" zoomScale="120" zoomScaleNormal="120" workbookViewId="0">
      <selection activeCell="M1" sqref="M1"/>
    </sheetView>
  </sheetViews>
  <sheetFormatPr defaultRowHeight="14.4" x14ac:dyDescent="0.3"/>
  <cols>
    <col min="2" max="2" width="12.5546875" bestFit="1" customWidth="1"/>
    <col min="3" max="3" width="15.5546875" bestFit="1" customWidth="1"/>
  </cols>
  <sheetData>
    <row r="1" spans="2:11" ht="46.2" x14ac:dyDescent="0.85">
      <c r="B1" s="9"/>
      <c r="C1" s="9"/>
      <c r="D1" s="9"/>
      <c r="E1" s="7"/>
      <c r="F1" s="8" t="s">
        <v>118</v>
      </c>
      <c r="G1" s="7"/>
      <c r="H1" s="9"/>
      <c r="I1" s="9"/>
      <c r="J1" s="9"/>
      <c r="K1" s="9"/>
    </row>
    <row r="21" spans="2:3" x14ac:dyDescent="0.3">
      <c r="B21" s="2" t="s">
        <v>103</v>
      </c>
      <c r="C21" s="2" t="s">
        <v>107</v>
      </c>
    </row>
    <row r="22" spans="2:3" x14ac:dyDescent="0.3">
      <c r="B22" s="3" t="s">
        <v>104</v>
      </c>
      <c r="C22" s="4">
        <v>30.651622952380951</v>
      </c>
    </row>
    <row r="23" spans="2:3" x14ac:dyDescent="0.3">
      <c r="B23" s="3" t="s">
        <v>105</v>
      </c>
      <c r="C23" s="4">
        <v>47.104487454545449</v>
      </c>
    </row>
    <row r="24" spans="2:3" x14ac:dyDescent="0.3">
      <c r="B24" s="3" t="s">
        <v>106</v>
      </c>
      <c r="C24" s="4">
        <v>42.558301210526324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78"/>
  <sheetViews>
    <sheetView zoomScale="120" zoomScaleNormal="120" workbookViewId="0">
      <selection activeCell="R10" sqref="R10"/>
    </sheetView>
  </sheetViews>
  <sheetFormatPr defaultRowHeight="14.4" x14ac:dyDescent="0.3"/>
  <cols>
    <col min="1" max="1" width="32.44140625" bestFit="1" customWidth="1"/>
    <col min="2" max="2" width="3.88671875" bestFit="1" customWidth="1"/>
    <col min="3" max="3" width="4.5546875" bestFit="1" customWidth="1"/>
    <col min="4" max="4" width="12" bestFit="1" customWidth="1"/>
    <col min="5" max="5" width="6.88671875" bestFit="1" customWidth="1"/>
    <col min="6" max="6" width="3.33203125" bestFit="1" customWidth="1"/>
    <col min="7" max="7" width="6.88671875" bestFit="1" customWidth="1"/>
    <col min="8" max="8" width="4.77734375" bestFit="1" customWidth="1"/>
    <col min="9" max="9" width="5.6640625" bestFit="1" customWidth="1"/>
    <col min="10" max="10" width="6.109375" bestFit="1" customWidth="1"/>
    <col min="11" max="11" width="6.33203125" bestFit="1" customWidth="1"/>
    <col min="12" max="12" width="7.77734375" bestFit="1" customWidth="1"/>
    <col min="13" max="13" width="4.88671875" bestFit="1" customWidth="1"/>
    <col min="14" max="14" width="6.44140625" bestFit="1" customWidth="1"/>
    <col min="15" max="15" width="5" bestFit="1" customWidth="1"/>
    <col min="16" max="16" width="10" bestFit="1" customWidth="1"/>
    <col min="17" max="17" width="10.109375" bestFit="1" customWidth="1"/>
    <col min="18" max="18" width="11.33203125" bestFit="1" customWidth="1"/>
    <col min="19" max="19" width="12.109375" bestFit="1" customWidth="1"/>
  </cols>
  <sheetData>
    <row r="1" spans="1:1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101</v>
      </c>
      <c r="R1" s="6" t="s">
        <v>102</v>
      </c>
      <c r="S1" s="6" t="s">
        <v>109</v>
      </c>
    </row>
    <row r="2" spans="1:19" x14ac:dyDescent="0.3">
      <c r="A2" t="s">
        <v>23</v>
      </c>
      <c r="B2" t="s">
        <v>22</v>
      </c>
      <c r="C2" t="s">
        <v>18</v>
      </c>
      <c r="D2">
        <v>50</v>
      </c>
      <c r="E2">
        <v>4</v>
      </c>
      <c r="F2">
        <v>0</v>
      </c>
      <c r="G2">
        <v>140</v>
      </c>
      <c r="H2">
        <v>14</v>
      </c>
      <c r="I2">
        <v>8</v>
      </c>
      <c r="J2">
        <v>0</v>
      </c>
      <c r="K2">
        <v>330</v>
      </c>
      <c r="L2">
        <v>25</v>
      </c>
      <c r="M2">
        <v>3</v>
      </c>
      <c r="N2">
        <v>1</v>
      </c>
      <c r="O2">
        <v>0.5</v>
      </c>
      <c r="P2">
        <v>93.704911999999993</v>
      </c>
      <c r="Q2" t="str">
        <f>IF(J2&gt;10,"High Sugar","Low Sugar")</f>
        <v>Low Sugar</v>
      </c>
      <c r="R2">
        <f>H2-J2</f>
        <v>14</v>
      </c>
      <c r="S2" t="str">
        <f>IF(H2&gt;5,"High Fiber","Low Fiber")</f>
        <v>High Fiber</v>
      </c>
    </row>
    <row r="3" spans="1:19" x14ac:dyDescent="0.3">
      <c r="A3" t="s">
        <v>88</v>
      </c>
      <c r="B3" t="s">
        <v>17</v>
      </c>
      <c r="C3" t="s">
        <v>18</v>
      </c>
      <c r="D3">
        <v>90</v>
      </c>
      <c r="E3">
        <v>3</v>
      </c>
      <c r="F3">
        <v>0</v>
      </c>
      <c r="G3">
        <v>0</v>
      </c>
      <c r="H3">
        <v>4</v>
      </c>
      <c r="I3">
        <v>19</v>
      </c>
      <c r="J3">
        <v>0</v>
      </c>
      <c r="K3">
        <v>140</v>
      </c>
      <c r="L3">
        <v>0</v>
      </c>
      <c r="M3">
        <v>1</v>
      </c>
      <c r="N3">
        <v>1</v>
      </c>
      <c r="O3">
        <v>0.67</v>
      </c>
      <c r="P3">
        <v>74.472949</v>
      </c>
      <c r="Q3" t="str">
        <f t="shared" ref="Q3:Q65" si="0">IF(J3&gt;10,"High Sugar","Low Sugar")</f>
        <v>Low Sugar</v>
      </c>
      <c r="R3">
        <f t="shared" ref="R3:R65" si="1">H3-J3</f>
        <v>4</v>
      </c>
      <c r="S3" t="str">
        <f t="shared" ref="S3:S66" si="2">IF(H3&gt;5,"High Fiber","Low Fiber")</f>
        <v>Low Fiber</v>
      </c>
    </row>
    <row r="4" spans="1:19" x14ac:dyDescent="0.3">
      <c r="A4" t="s">
        <v>89</v>
      </c>
      <c r="B4" t="s">
        <v>17</v>
      </c>
      <c r="C4" t="s">
        <v>18</v>
      </c>
      <c r="D4">
        <v>90</v>
      </c>
      <c r="E4">
        <v>3</v>
      </c>
      <c r="F4">
        <v>0</v>
      </c>
      <c r="G4">
        <v>0</v>
      </c>
      <c r="H4">
        <v>3</v>
      </c>
      <c r="I4">
        <v>20</v>
      </c>
      <c r="J4">
        <v>0</v>
      </c>
      <c r="K4">
        <v>120</v>
      </c>
      <c r="L4">
        <v>0</v>
      </c>
      <c r="M4">
        <v>1</v>
      </c>
      <c r="N4">
        <v>1</v>
      </c>
      <c r="O4">
        <v>0.67</v>
      </c>
      <c r="P4">
        <v>72.801787000000004</v>
      </c>
      <c r="Q4" t="str">
        <f t="shared" si="0"/>
        <v>Low Sugar</v>
      </c>
      <c r="R4">
        <f t="shared" si="1"/>
        <v>3</v>
      </c>
      <c r="S4" t="str">
        <f t="shared" si="2"/>
        <v>Low Fiber</v>
      </c>
    </row>
    <row r="5" spans="1:19" x14ac:dyDescent="0.3">
      <c r="A5" t="s">
        <v>16</v>
      </c>
      <c r="B5" t="s">
        <v>17</v>
      </c>
      <c r="C5" t="s">
        <v>18</v>
      </c>
      <c r="D5">
        <v>70</v>
      </c>
      <c r="E5">
        <v>4</v>
      </c>
      <c r="F5">
        <v>1</v>
      </c>
      <c r="G5">
        <v>130</v>
      </c>
      <c r="H5">
        <v>10</v>
      </c>
      <c r="I5">
        <v>5</v>
      </c>
      <c r="J5">
        <v>6</v>
      </c>
      <c r="K5">
        <v>280</v>
      </c>
      <c r="L5">
        <v>25</v>
      </c>
      <c r="M5">
        <v>3</v>
      </c>
      <c r="N5">
        <v>1</v>
      </c>
      <c r="O5">
        <v>0.33</v>
      </c>
      <c r="P5">
        <v>68.402973000000003</v>
      </c>
      <c r="Q5" t="str">
        <f t="shared" si="0"/>
        <v>Low Sugar</v>
      </c>
      <c r="R5">
        <f t="shared" si="1"/>
        <v>4</v>
      </c>
      <c r="S5" t="str">
        <f t="shared" si="2"/>
        <v>High Fiber</v>
      </c>
    </row>
    <row r="6" spans="1:19" x14ac:dyDescent="0.3">
      <c r="A6" t="s">
        <v>87</v>
      </c>
      <c r="B6" t="s">
        <v>17</v>
      </c>
      <c r="C6" t="s">
        <v>18</v>
      </c>
      <c r="D6">
        <v>80</v>
      </c>
      <c r="E6">
        <v>2</v>
      </c>
      <c r="F6">
        <v>0</v>
      </c>
      <c r="G6">
        <v>0</v>
      </c>
      <c r="H6">
        <v>3</v>
      </c>
      <c r="I6">
        <v>16</v>
      </c>
      <c r="J6">
        <v>0</v>
      </c>
      <c r="K6">
        <v>95</v>
      </c>
      <c r="L6">
        <v>0</v>
      </c>
      <c r="M6">
        <v>1</v>
      </c>
      <c r="N6">
        <v>0.83</v>
      </c>
      <c r="O6">
        <v>1</v>
      </c>
      <c r="P6">
        <v>68.235884999999996</v>
      </c>
      <c r="Q6" t="str">
        <f t="shared" si="0"/>
        <v>Low Sugar</v>
      </c>
      <c r="R6">
        <f t="shared" si="1"/>
        <v>3</v>
      </c>
      <c r="S6" t="str">
        <f t="shared" si="2"/>
        <v>Low Fiber</v>
      </c>
    </row>
    <row r="7" spans="1:19" x14ac:dyDescent="0.3">
      <c r="A7" t="s">
        <v>43</v>
      </c>
      <c r="B7" t="s">
        <v>17</v>
      </c>
      <c r="C7" t="s">
        <v>44</v>
      </c>
      <c r="D7">
        <v>100</v>
      </c>
      <c r="E7">
        <v>3</v>
      </c>
      <c r="F7">
        <v>0</v>
      </c>
      <c r="G7">
        <v>80</v>
      </c>
      <c r="H7">
        <v>1</v>
      </c>
      <c r="I7">
        <v>21</v>
      </c>
      <c r="J7">
        <v>0</v>
      </c>
      <c r="K7">
        <v>-1</v>
      </c>
      <c r="L7">
        <v>0</v>
      </c>
      <c r="M7">
        <v>2</v>
      </c>
      <c r="N7">
        <v>1</v>
      </c>
      <c r="O7">
        <v>1</v>
      </c>
      <c r="P7">
        <v>64.533816000000002</v>
      </c>
      <c r="Q7" t="str">
        <f t="shared" si="0"/>
        <v>Low Sugar</v>
      </c>
      <c r="R7">
        <f t="shared" si="1"/>
        <v>1</v>
      </c>
      <c r="S7" t="str">
        <f t="shared" si="2"/>
        <v>Low Fiber</v>
      </c>
    </row>
    <row r="8" spans="1:19" x14ac:dyDescent="0.3">
      <c r="A8" t="s">
        <v>80</v>
      </c>
      <c r="B8" t="s">
        <v>20</v>
      </c>
      <c r="C8" t="s">
        <v>18</v>
      </c>
      <c r="D8">
        <v>50</v>
      </c>
      <c r="E8">
        <v>2</v>
      </c>
      <c r="F8">
        <v>0</v>
      </c>
      <c r="G8">
        <v>0</v>
      </c>
      <c r="H8">
        <v>1</v>
      </c>
      <c r="I8">
        <v>10</v>
      </c>
      <c r="J8">
        <v>0</v>
      </c>
      <c r="K8">
        <v>50</v>
      </c>
      <c r="L8">
        <v>0</v>
      </c>
      <c r="M8">
        <v>3</v>
      </c>
      <c r="N8">
        <v>0.5</v>
      </c>
      <c r="O8">
        <v>1</v>
      </c>
      <c r="P8">
        <v>63.005645000000001</v>
      </c>
      <c r="Q8" t="str">
        <f t="shared" si="0"/>
        <v>Low Sugar</v>
      </c>
      <c r="R8">
        <f t="shared" si="1"/>
        <v>1</v>
      </c>
      <c r="S8" t="str">
        <f t="shared" si="2"/>
        <v>Low Fiber</v>
      </c>
    </row>
    <row r="9" spans="1:19" x14ac:dyDescent="0.3">
      <c r="A9" t="s">
        <v>79</v>
      </c>
      <c r="B9" t="s">
        <v>20</v>
      </c>
      <c r="C9" t="s">
        <v>18</v>
      </c>
      <c r="D9">
        <v>50</v>
      </c>
      <c r="E9">
        <v>1</v>
      </c>
      <c r="F9">
        <v>0</v>
      </c>
      <c r="G9">
        <v>0</v>
      </c>
      <c r="H9">
        <v>0</v>
      </c>
      <c r="I9">
        <v>13</v>
      </c>
      <c r="J9">
        <v>0</v>
      </c>
      <c r="K9">
        <v>15</v>
      </c>
      <c r="L9">
        <v>0</v>
      </c>
      <c r="M9">
        <v>3</v>
      </c>
      <c r="N9">
        <v>0.5</v>
      </c>
      <c r="O9">
        <v>1</v>
      </c>
      <c r="P9">
        <v>60.756112000000002</v>
      </c>
      <c r="Q9" t="str">
        <f t="shared" si="0"/>
        <v>Low Sugar</v>
      </c>
      <c r="R9">
        <f t="shared" si="1"/>
        <v>0</v>
      </c>
      <c r="S9" t="str">
        <f t="shared" si="2"/>
        <v>Low Fiber</v>
      </c>
    </row>
    <row r="10" spans="1:19" x14ac:dyDescent="0.3">
      <c r="A10" t="s">
        <v>75</v>
      </c>
      <c r="B10" t="s">
        <v>22</v>
      </c>
      <c r="C10" t="s">
        <v>18</v>
      </c>
      <c r="D10">
        <v>90</v>
      </c>
      <c r="E10">
        <v>3</v>
      </c>
      <c r="F10">
        <v>0</v>
      </c>
      <c r="G10">
        <v>170</v>
      </c>
      <c r="H10">
        <v>3</v>
      </c>
      <c r="I10">
        <v>18</v>
      </c>
      <c r="J10">
        <v>2</v>
      </c>
      <c r="K10">
        <v>90</v>
      </c>
      <c r="L10">
        <v>25</v>
      </c>
      <c r="M10">
        <v>3</v>
      </c>
      <c r="N10">
        <v>1</v>
      </c>
      <c r="O10">
        <v>1</v>
      </c>
      <c r="P10">
        <v>59.642837</v>
      </c>
      <c r="Q10" t="str">
        <f t="shared" si="0"/>
        <v>Low Sugar</v>
      </c>
      <c r="R10">
        <f t="shared" si="1"/>
        <v>1</v>
      </c>
      <c r="S10" t="str">
        <f t="shared" si="2"/>
        <v>Low Fiber</v>
      </c>
    </row>
    <row r="11" spans="1:19" x14ac:dyDescent="0.3">
      <c r="A11" t="s">
        <v>21</v>
      </c>
      <c r="B11" t="s">
        <v>22</v>
      </c>
      <c r="C11" t="s">
        <v>18</v>
      </c>
      <c r="D11">
        <v>70</v>
      </c>
      <c r="E11">
        <v>4</v>
      </c>
      <c r="F11">
        <v>1</v>
      </c>
      <c r="G11">
        <v>260</v>
      </c>
      <c r="H11">
        <v>9</v>
      </c>
      <c r="I11">
        <v>7</v>
      </c>
      <c r="J11">
        <v>5</v>
      </c>
      <c r="K11">
        <v>320</v>
      </c>
      <c r="L11">
        <v>25</v>
      </c>
      <c r="M11">
        <v>3</v>
      </c>
      <c r="N11">
        <v>1</v>
      </c>
      <c r="O11">
        <v>0.33</v>
      </c>
      <c r="P11">
        <v>59.425505000000001</v>
      </c>
      <c r="Q11" t="str">
        <f t="shared" si="0"/>
        <v>Low Sugar</v>
      </c>
      <c r="R11">
        <f t="shared" si="1"/>
        <v>4</v>
      </c>
      <c r="S11" t="str">
        <f t="shared" si="2"/>
        <v>High Fiber</v>
      </c>
    </row>
    <row r="12" spans="1:19" x14ac:dyDescent="0.3">
      <c r="A12" t="s">
        <v>92</v>
      </c>
      <c r="B12" t="s">
        <v>17</v>
      </c>
      <c r="C12" t="s">
        <v>18</v>
      </c>
      <c r="D12">
        <v>90</v>
      </c>
      <c r="E12">
        <v>2</v>
      </c>
      <c r="F12">
        <v>0</v>
      </c>
      <c r="G12">
        <v>15</v>
      </c>
      <c r="H12">
        <v>3</v>
      </c>
      <c r="I12">
        <v>15</v>
      </c>
      <c r="J12">
        <v>5</v>
      </c>
      <c r="K12">
        <v>90</v>
      </c>
      <c r="L12">
        <v>25</v>
      </c>
      <c r="M12">
        <v>2</v>
      </c>
      <c r="N12">
        <v>1</v>
      </c>
      <c r="O12">
        <v>1</v>
      </c>
      <c r="P12">
        <v>59.363993000000001</v>
      </c>
      <c r="Q12" t="str">
        <f t="shared" si="0"/>
        <v>Low Sugar</v>
      </c>
      <c r="R12">
        <f t="shared" si="1"/>
        <v>-2</v>
      </c>
      <c r="S12" t="str">
        <f t="shared" si="2"/>
        <v>Low Fiber</v>
      </c>
    </row>
    <row r="13" spans="1:19" x14ac:dyDescent="0.3">
      <c r="A13" t="s">
        <v>50</v>
      </c>
      <c r="B13" t="s">
        <v>22</v>
      </c>
      <c r="C13" t="s">
        <v>18</v>
      </c>
      <c r="D13">
        <v>100</v>
      </c>
      <c r="E13">
        <v>3</v>
      </c>
      <c r="F13">
        <v>0</v>
      </c>
      <c r="G13">
        <v>0</v>
      </c>
      <c r="H13">
        <v>3</v>
      </c>
      <c r="I13">
        <v>14</v>
      </c>
      <c r="J13">
        <v>7</v>
      </c>
      <c r="K13">
        <v>100</v>
      </c>
      <c r="L13">
        <v>25</v>
      </c>
      <c r="M13">
        <v>2</v>
      </c>
      <c r="N13">
        <v>1</v>
      </c>
      <c r="O13">
        <v>0.8</v>
      </c>
      <c r="P13">
        <v>58.345140999999998</v>
      </c>
      <c r="Q13" t="str">
        <f t="shared" si="0"/>
        <v>Low Sugar</v>
      </c>
      <c r="R13">
        <f t="shared" si="1"/>
        <v>-4</v>
      </c>
      <c r="S13" t="str">
        <f t="shared" si="2"/>
        <v>Low Fiber</v>
      </c>
    </row>
    <row r="14" spans="1:19" x14ac:dyDescent="0.3">
      <c r="A14" t="s">
        <v>84</v>
      </c>
      <c r="B14" t="s">
        <v>22</v>
      </c>
      <c r="C14" t="s">
        <v>18</v>
      </c>
      <c r="D14">
        <v>90</v>
      </c>
      <c r="E14">
        <v>2</v>
      </c>
      <c r="F14">
        <v>0</v>
      </c>
      <c r="G14">
        <v>0</v>
      </c>
      <c r="H14">
        <v>2</v>
      </c>
      <c r="I14">
        <v>15</v>
      </c>
      <c r="J14">
        <v>6</v>
      </c>
      <c r="K14">
        <v>110</v>
      </c>
      <c r="L14">
        <v>25</v>
      </c>
      <c r="M14">
        <v>3</v>
      </c>
      <c r="N14">
        <v>1</v>
      </c>
      <c r="O14">
        <v>0.5</v>
      </c>
      <c r="P14">
        <v>55.333142000000002</v>
      </c>
      <c r="Q14" t="str">
        <f t="shared" si="0"/>
        <v>Low Sugar</v>
      </c>
      <c r="R14">
        <f t="shared" si="1"/>
        <v>-4</v>
      </c>
      <c r="S14" t="str">
        <f t="shared" si="2"/>
        <v>Low Fiber</v>
      </c>
    </row>
    <row r="15" spans="1:19" x14ac:dyDescent="0.3">
      <c r="A15" t="s">
        <v>67</v>
      </c>
      <c r="B15" t="s">
        <v>68</v>
      </c>
      <c r="C15" t="s">
        <v>44</v>
      </c>
      <c r="D15">
        <v>100</v>
      </c>
      <c r="E15">
        <v>4</v>
      </c>
      <c r="F15">
        <v>1</v>
      </c>
      <c r="G15">
        <v>0</v>
      </c>
      <c r="H15">
        <v>0</v>
      </c>
      <c r="I15">
        <v>16</v>
      </c>
      <c r="J15">
        <v>3</v>
      </c>
      <c r="K15">
        <v>95</v>
      </c>
      <c r="L15">
        <v>25</v>
      </c>
      <c r="M15">
        <v>2</v>
      </c>
      <c r="N15">
        <v>1</v>
      </c>
      <c r="O15">
        <v>1</v>
      </c>
      <c r="P15">
        <v>54.850917000000003</v>
      </c>
      <c r="Q15" t="str">
        <f t="shared" si="0"/>
        <v>Low Sugar</v>
      </c>
      <c r="R15">
        <f t="shared" si="1"/>
        <v>-3</v>
      </c>
      <c r="S15" t="str">
        <f t="shared" si="2"/>
        <v>Low Fiber</v>
      </c>
    </row>
    <row r="16" spans="1:19" x14ac:dyDescent="0.3">
      <c r="A16" t="s">
        <v>57</v>
      </c>
      <c r="B16" t="s">
        <v>32</v>
      </c>
      <c r="C16" t="s">
        <v>18</v>
      </c>
      <c r="D16">
        <v>110</v>
      </c>
      <c r="E16">
        <v>3</v>
      </c>
      <c r="F16">
        <v>0</v>
      </c>
      <c r="G16">
        <v>170</v>
      </c>
      <c r="H16">
        <v>3</v>
      </c>
      <c r="I16">
        <v>17</v>
      </c>
      <c r="J16">
        <v>3</v>
      </c>
      <c r="K16">
        <v>90</v>
      </c>
      <c r="L16">
        <v>25</v>
      </c>
      <c r="M16">
        <v>3</v>
      </c>
      <c r="N16">
        <v>1</v>
      </c>
      <c r="O16">
        <v>0.25</v>
      </c>
      <c r="P16">
        <v>53.371006999999999</v>
      </c>
      <c r="Q16" t="str">
        <f t="shared" si="0"/>
        <v>Low Sugar</v>
      </c>
      <c r="R16">
        <f t="shared" si="1"/>
        <v>0</v>
      </c>
      <c r="S16" t="str">
        <f t="shared" si="2"/>
        <v>Low Fiber</v>
      </c>
    </row>
    <row r="17" spans="1:19" x14ac:dyDescent="0.3">
      <c r="A17" t="s">
        <v>31</v>
      </c>
      <c r="B17" t="s">
        <v>32</v>
      </c>
      <c r="C17" t="s">
        <v>18</v>
      </c>
      <c r="D17">
        <v>90</v>
      </c>
      <c r="E17">
        <v>3</v>
      </c>
      <c r="F17">
        <v>0</v>
      </c>
      <c r="G17">
        <v>210</v>
      </c>
      <c r="H17">
        <v>5</v>
      </c>
      <c r="I17">
        <v>13</v>
      </c>
      <c r="J17">
        <v>5</v>
      </c>
      <c r="K17">
        <v>190</v>
      </c>
      <c r="L17">
        <v>25</v>
      </c>
      <c r="M17">
        <v>3</v>
      </c>
      <c r="N17">
        <v>1</v>
      </c>
      <c r="O17">
        <v>0.67</v>
      </c>
      <c r="P17">
        <v>53.313813000000003</v>
      </c>
      <c r="Q17" t="str">
        <f t="shared" si="0"/>
        <v>Low Sugar</v>
      </c>
      <c r="R17">
        <f t="shared" si="1"/>
        <v>0</v>
      </c>
      <c r="S17" t="str">
        <f t="shared" si="2"/>
        <v>Low Fiber</v>
      </c>
    </row>
    <row r="18" spans="1:19" x14ac:dyDescent="0.3">
      <c r="A18" t="s">
        <v>91</v>
      </c>
      <c r="B18" t="s">
        <v>22</v>
      </c>
      <c r="C18" t="s">
        <v>18</v>
      </c>
      <c r="D18">
        <v>110</v>
      </c>
      <c r="E18">
        <v>6</v>
      </c>
      <c r="F18">
        <v>0</v>
      </c>
      <c r="G18">
        <v>230</v>
      </c>
      <c r="H18">
        <v>1</v>
      </c>
      <c r="I18">
        <v>16</v>
      </c>
      <c r="J18">
        <v>3</v>
      </c>
      <c r="K18">
        <v>55</v>
      </c>
      <c r="L18">
        <v>25</v>
      </c>
      <c r="M18">
        <v>1</v>
      </c>
      <c r="N18">
        <v>1</v>
      </c>
      <c r="O18">
        <v>1</v>
      </c>
      <c r="P18">
        <v>53.131323999999999</v>
      </c>
      <c r="Q18" t="str">
        <f t="shared" si="0"/>
        <v>Low Sugar</v>
      </c>
      <c r="R18">
        <f t="shared" si="1"/>
        <v>-2</v>
      </c>
      <c r="S18" t="str">
        <f t="shared" si="2"/>
        <v>Low Fiber</v>
      </c>
    </row>
    <row r="19" spans="1:19" x14ac:dyDescent="0.3">
      <c r="A19" t="s">
        <v>56</v>
      </c>
      <c r="B19" t="s">
        <v>32</v>
      </c>
      <c r="C19" t="s">
        <v>18</v>
      </c>
      <c r="D19">
        <v>100</v>
      </c>
      <c r="E19">
        <v>3</v>
      </c>
      <c r="F19">
        <v>1</v>
      </c>
      <c r="G19">
        <v>140</v>
      </c>
      <c r="H19">
        <v>3</v>
      </c>
      <c r="I19">
        <v>15</v>
      </c>
      <c r="J19">
        <v>5</v>
      </c>
      <c r="K19">
        <v>85</v>
      </c>
      <c r="L19">
        <v>25</v>
      </c>
      <c r="M19">
        <v>3</v>
      </c>
      <c r="N19">
        <v>1</v>
      </c>
      <c r="O19">
        <v>0.88</v>
      </c>
      <c r="P19">
        <v>52.076897000000002</v>
      </c>
      <c r="Q19" t="str">
        <f t="shared" si="0"/>
        <v>Low Sugar</v>
      </c>
      <c r="R19">
        <f t="shared" si="1"/>
        <v>-2</v>
      </c>
      <c r="S19" t="str">
        <f t="shared" si="2"/>
        <v>Low Fiber</v>
      </c>
    </row>
    <row r="20" spans="1:19" x14ac:dyDescent="0.3">
      <c r="A20" t="s">
        <v>99</v>
      </c>
      <c r="B20" t="s">
        <v>27</v>
      </c>
      <c r="C20" t="s">
        <v>18</v>
      </c>
      <c r="D20">
        <v>100</v>
      </c>
      <c r="E20">
        <v>3</v>
      </c>
      <c r="F20">
        <v>1</v>
      </c>
      <c r="G20">
        <v>200</v>
      </c>
      <c r="H20">
        <v>3</v>
      </c>
      <c r="I20">
        <v>17</v>
      </c>
      <c r="J20">
        <v>3</v>
      </c>
      <c r="K20">
        <v>110</v>
      </c>
      <c r="L20">
        <v>25</v>
      </c>
      <c r="M20">
        <v>1</v>
      </c>
      <c r="N20">
        <v>1</v>
      </c>
      <c r="O20">
        <v>1</v>
      </c>
      <c r="P20">
        <v>51.592193000000002</v>
      </c>
      <c r="Q20" t="str">
        <f t="shared" si="0"/>
        <v>Low Sugar</v>
      </c>
      <c r="R20">
        <f t="shared" si="1"/>
        <v>0</v>
      </c>
      <c r="S20" t="str">
        <f t="shared" si="2"/>
        <v>Low Fiber</v>
      </c>
    </row>
    <row r="21" spans="1:19" x14ac:dyDescent="0.3">
      <c r="A21" t="s">
        <v>34</v>
      </c>
      <c r="B21" t="s">
        <v>27</v>
      </c>
      <c r="C21" t="s">
        <v>18</v>
      </c>
      <c r="D21">
        <v>110</v>
      </c>
      <c r="E21">
        <v>6</v>
      </c>
      <c r="F21">
        <v>2</v>
      </c>
      <c r="G21">
        <v>290</v>
      </c>
      <c r="H21">
        <v>2</v>
      </c>
      <c r="I21">
        <v>17</v>
      </c>
      <c r="J21">
        <v>1</v>
      </c>
      <c r="K21">
        <v>105</v>
      </c>
      <c r="L21">
        <v>25</v>
      </c>
      <c r="M21">
        <v>1</v>
      </c>
      <c r="N21">
        <v>1</v>
      </c>
      <c r="O21">
        <v>1.25</v>
      </c>
      <c r="P21">
        <v>50.764999000000003</v>
      </c>
      <c r="Q21" t="str">
        <f t="shared" si="0"/>
        <v>Low Sugar</v>
      </c>
      <c r="R21">
        <f t="shared" si="1"/>
        <v>1</v>
      </c>
      <c r="S21" t="str">
        <f t="shared" si="2"/>
        <v>Low Fiber</v>
      </c>
    </row>
    <row r="22" spans="1:19" x14ac:dyDescent="0.3">
      <c r="A22" t="s">
        <v>98</v>
      </c>
      <c r="B22" t="s">
        <v>25</v>
      </c>
      <c r="C22" t="s">
        <v>18</v>
      </c>
      <c r="D22">
        <v>100</v>
      </c>
      <c r="E22">
        <v>3</v>
      </c>
      <c r="F22">
        <v>1</v>
      </c>
      <c r="G22">
        <v>230</v>
      </c>
      <c r="H22">
        <v>3</v>
      </c>
      <c r="I22">
        <v>17</v>
      </c>
      <c r="J22">
        <v>3</v>
      </c>
      <c r="K22">
        <v>115</v>
      </c>
      <c r="L22">
        <v>25</v>
      </c>
      <c r="M22">
        <v>1</v>
      </c>
      <c r="N22">
        <v>1</v>
      </c>
      <c r="O22">
        <v>0.67</v>
      </c>
      <c r="P22">
        <v>49.787444999999998</v>
      </c>
      <c r="Q22" t="str">
        <f t="shared" si="0"/>
        <v>Low Sugar</v>
      </c>
      <c r="R22">
        <f t="shared" si="1"/>
        <v>0</v>
      </c>
      <c r="S22" t="str">
        <f t="shared" si="2"/>
        <v>Low Fiber</v>
      </c>
    </row>
    <row r="23" spans="1:19" x14ac:dyDescent="0.3">
      <c r="A23" t="s">
        <v>81</v>
      </c>
      <c r="B23" t="s">
        <v>20</v>
      </c>
      <c r="C23" t="s">
        <v>18</v>
      </c>
      <c r="D23">
        <v>100</v>
      </c>
      <c r="E23">
        <v>4</v>
      </c>
      <c r="F23">
        <v>1</v>
      </c>
      <c r="G23">
        <v>135</v>
      </c>
      <c r="H23">
        <v>2</v>
      </c>
      <c r="I23">
        <v>14</v>
      </c>
      <c r="J23">
        <v>6</v>
      </c>
      <c r="K23">
        <v>110</v>
      </c>
      <c r="L23">
        <v>25</v>
      </c>
      <c r="M23">
        <v>3</v>
      </c>
      <c r="N23">
        <v>1</v>
      </c>
      <c r="O23">
        <v>0.5</v>
      </c>
      <c r="P23">
        <v>49.511873999999999</v>
      </c>
      <c r="Q23" t="str">
        <f t="shared" si="0"/>
        <v>Low Sugar</v>
      </c>
      <c r="R23">
        <f t="shared" si="1"/>
        <v>-4</v>
      </c>
      <c r="S23" t="str">
        <f t="shared" si="2"/>
        <v>Low Fiber</v>
      </c>
    </row>
    <row r="24" spans="1:19" x14ac:dyDescent="0.3">
      <c r="A24" t="s">
        <v>30</v>
      </c>
      <c r="B24" t="s">
        <v>25</v>
      </c>
      <c r="C24" t="s">
        <v>18</v>
      </c>
      <c r="D24">
        <v>90</v>
      </c>
      <c r="E24">
        <v>2</v>
      </c>
      <c r="F24">
        <v>1</v>
      </c>
      <c r="G24">
        <v>200</v>
      </c>
      <c r="H24">
        <v>4</v>
      </c>
      <c r="I24">
        <v>15</v>
      </c>
      <c r="J24">
        <v>6</v>
      </c>
      <c r="K24">
        <v>125</v>
      </c>
      <c r="L24">
        <v>25</v>
      </c>
      <c r="M24">
        <v>1</v>
      </c>
      <c r="N24">
        <v>1</v>
      </c>
      <c r="O24">
        <v>0.67</v>
      </c>
      <c r="P24">
        <v>49.120252999999998</v>
      </c>
      <c r="Q24" t="str">
        <f t="shared" si="0"/>
        <v>Low Sugar</v>
      </c>
      <c r="R24">
        <f t="shared" si="1"/>
        <v>-2</v>
      </c>
      <c r="S24" t="str">
        <f t="shared" si="2"/>
        <v>Low Fiber</v>
      </c>
    </row>
    <row r="25" spans="1:19" x14ac:dyDescent="0.3">
      <c r="A25" t="s">
        <v>45</v>
      </c>
      <c r="B25" t="s">
        <v>22</v>
      </c>
      <c r="C25" t="s">
        <v>18</v>
      </c>
      <c r="D25">
        <v>110</v>
      </c>
      <c r="E25">
        <v>2</v>
      </c>
      <c r="F25">
        <v>0</v>
      </c>
      <c r="G25">
        <v>220</v>
      </c>
      <c r="H25">
        <v>1</v>
      </c>
      <c r="I25">
        <v>21</v>
      </c>
      <c r="J25">
        <v>3</v>
      </c>
      <c r="K25">
        <v>30</v>
      </c>
      <c r="L25">
        <v>25</v>
      </c>
      <c r="M25">
        <v>3</v>
      </c>
      <c r="N25">
        <v>1</v>
      </c>
      <c r="O25">
        <v>1</v>
      </c>
      <c r="P25">
        <v>46.895643999999997</v>
      </c>
      <c r="Q25" t="str">
        <f t="shared" si="0"/>
        <v>Low Sugar</v>
      </c>
      <c r="R25">
        <f t="shared" si="1"/>
        <v>-2</v>
      </c>
      <c r="S25" t="str">
        <f t="shared" si="2"/>
        <v>Low Fiber</v>
      </c>
    </row>
    <row r="26" spans="1:19" x14ac:dyDescent="0.3">
      <c r="A26" t="s">
        <v>95</v>
      </c>
      <c r="B26" t="s">
        <v>27</v>
      </c>
      <c r="C26" t="s">
        <v>18</v>
      </c>
      <c r="D26">
        <v>100</v>
      </c>
      <c r="E26">
        <v>3</v>
      </c>
      <c r="F26">
        <v>1</v>
      </c>
      <c r="G26">
        <v>200</v>
      </c>
      <c r="H26">
        <v>3</v>
      </c>
      <c r="I26">
        <v>16</v>
      </c>
      <c r="J26">
        <v>3</v>
      </c>
      <c r="K26">
        <v>110</v>
      </c>
      <c r="L26">
        <v>100</v>
      </c>
      <c r="M26">
        <v>3</v>
      </c>
      <c r="N26">
        <v>1</v>
      </c>
      <c r="O26">
        <v>1</v>
      </c>
      <c r="P26">
        <v>46.658844000000002</v>
      </c>
      <c r="Q26" t="str">
        <f t="shared" si="0"/>
        <v>Low Sugar</v>
      </c>
      <c r="R26">
        <f t="shared" si="1"/>
        <v>0</v>
      </c>
      <c r="S26" t="str">
        <f t="shared" si="2"/>
        <v>Low Fiber</v>
      </c>
    </row>
    <row r="27" spans="1:19" x14ac:dyDescent="0.3">
      <c r="A27" t="s">
        <v>39</v>
      </c>
      <c r="B27" t="s">
        <v>22</v>
      </c>
      <c r="C27" t="s">
        <v>18</v>
      </c>
      <c r="D27">
        <v>100</v>
      </c>
      <c r="E27">
        <v>2</v>
      </c>
      <c r="F27">
        <v>0</v>
      </c>
      <c r="G27">
        <v>290</v>
      </c>
      <c r="H27">
        <v>1</v>
      </c>
      <c r="I27">
        <v>21</v>
      </c>
      <c r="J27">
        <v>2</v>
      </c>
      <c r="K27">
        <v>35</v>
      </c>
      <c r="L27">
        <v>25</v>
      </c>
      <c r="M27">
        <v>1</v>
      </c>
      <c r="N27">
        <v>1</v>
      </c>
      <c r="O27">
        <v>1</v>
      </c>
      <c r="P27">
        <v>45.863323999999999</v>
      </c>
      <c r="Q27" t="str">
        <f t="shared" si="0"/>
        <v>Low Sugar</v>
      </c>
      <c r="R27">
        <f t="shared" si="1"/>
        <v>-1</v>
      </c>
      <c r="S27" t="str">
        <f t="shared" si="2"/>
        <v>Low Fiber</v>
      </c>
    </row>
    <row r="28" spans="1:19" x14ac:dyDescent="0.3">
      <c r="A28" t="s">
        <v>58</v>
      </c>
      <c r="B28" t="s">
        <v>32</v>
      </c>
      <c r="C28" t="s">
        <v>18</v>
      </c>
      <c r="D28">
        <v>120</v>
      </c>
      <c r="E28">
        <v>3</v>
      </c>
      <c r="F28">
        <v>3</v>
      </c>
      <c r="G28">
        <v>75</v>
      </c>
      <c r="H28">
        <v>3</v>
      </c>
      <c r="I28">
        <v>13</v>
      </c>
      <c r="J28">
        <v>4</v>
      </c>
      <c r="K28">
        <v>100</v>
      </c>
      <c r="L28">
        <v>25</v>
      </c>
      <c r="M28">
        <v>3</v>
      </c>
      <c r="N28">
        <v>1</v>
      </c>
      <c r="O28">
        <v>0.33</v>
      </c>
      <c r="P28">
        <v>45.811715999999997</v>
      </c>
      <c r="Q28" t="str">
        <f t="shared" si="0"/>
        <v>Low Sugar</v>
      </c>
      <c r="R28">
        <f t="shared" si="1"/>
        <v>-1</v>
      </c>
      <c r="S28" t="str">
        <f t="shared" si="2"/>
        <v>Low Fiber</v>
      </c>
    </row>
    <row r="29" spans="1:19" x14ac:dyDescent="0.3">
      <c r="A29" t="s">
        <v>65</v>
      </c>
      <c r="B29" t="s">
        <v>20</v>
      </c>
      <c r="C29" t="s">
        <v>18</v>
      </c>
      <c r="D29">
        <v>100</v>
      </c>
      <c r="E29">
        <v>4</v>
      </c>
      <c r="F29">
        <v>2</v>
      </c>
      <c r="G29">
        <v>150</v>
      </c>
      <c r="H29">
        <v>2</v>
      </c>
      <c r="I29">
        <v>12</v>
      </c>
      <c r="J29">
        <v>6</v>
      </c>
      <c r="K29">
        <v>95</v>
      </c>
      <c r="L29">
        <v>25</v>
      </c>
      <c r="M29">
        <v>2</v>
      </c>
      <c r="N29">
        <v>1</v>
      </c>
      <c r="O29">
        <v>0.67</v>
      </c>
      <c r="P29">
        <v>45.328074000000001</v>
      </c>
      <c r="Q29" t="str">
        <f t="shared" si="0"/>
        <v>Low Sugar</v>
      </c>
      <c r="R29">
        <f t="shared" si="1"/>
        <v>-4</v>
      </c>
      <c r="S29" t="str">
        <f t="shared" si="2"/>
        <v>Low Fiber</v>
      </c>
    </row>
    <row r="30" spans="1:19" x14ac:dyDescent="0.3">
      <c r="A30" t="s">
        <v>47</v>
      </c>
      <c r="B30" t="s">
        <v>25</v>
      </c>
      <c r="C30" t="s">
        <v>18</v>
      </c>
      <c r="D30">
        <v>100</v>
      </c>
      <c r="E30">
        <v>2</v>
      </c>
      <c r="F30">
        <v>0</v>
      </c>
      <c r="G30">
        <v>190</v>
      </c>
      <c r="H30">
        <v>1</v>
      </c>
      <c r="I30">
        <v>18</v>
      </c>
      <c r="J30">
        <v>5</v>
      </c>
      <c r="K30">
        <v>80</v>
      </c>
      <c r="L30">
        <v>25</v>
      </c>
      <c r="M30">
        <v>3</v>
      </c>
      <c r="N30">
        <v>1</v>
      </c>
      <c r="O30">
        <v>0.75</v>
      </c>
      <c r="P30">
        <v>44.330855999999997</v>
      </c>
      <c r="Q30" t="str">
        <f t="shared" si="0"/>
        <v>Low Sugar</v>
      </c>
      <c r="R30">
        <f t="shared" si="1"/>
        <v>-4</v>
      </c>
      <c r="S30" t="str">
        <f t="shared" si="2"/>
        <v>Low Fiber</v>
      </c>
    </row>
    <row r="31" spans="1:19" x14ac:dyDescent="0.3">
      <c r="A31" t="s">
        <v>85</v>
      </c>
      <c r="B31" t="s">
        <v>25</v>
      </c>
      <c r="C31" t="s">
        <v>18</v>
      </c>
      <c r="D31">
        <v>110</v>
      </c>
      <c r="E31">
        <v>1</v>
      </c>
      <c r="F31">
        <v>0</v>
      </c>
      <c r="G31">
        <v>240</v>
      </c>
      <c r="H31">
        <v>0</v>
      </c>
      <c r="I31">
        <v>23</v>
      </c>
      <c r="J31">
        <v>2</v>
      </c>
      <c r="K31">
        <v>30</v>
      </c>
      <c r="L31">
        <v>25</v>
      </c>
      <c r="M31">
        <v>1</v>
      </c>
      <c r="N31">
        <v>1</v>
      </c>
      <c r="O31">
        <v>1.1299999999999999</v>
      </c>
      <c r="P31">
        <v>41.998933000000001</v>
      </c>
      <c r="Q31" t="str">
        <f t="shared" si="0"/>
        <v>Low Sugar</v>
      </c>
      <c r="R31">
        <f t="shared" si="1"/>
        <v>-2</v>
      </c>
      <c r="S31" t="str">
        <f t="shared" si="2"/>
        <v>Low Fiber</v>
      </c>
    </row>
    <row r="32" spans="1:19" x14ac:dyDescent="0.3">
      <c r="A32" t="s">
        <v>78</v>
      </c>
      <c r="B32" t="s">
        <v>22</v>
      </c>
      <c r="C32" t="s">
        <v>18</v>
      </c>
      <c r="D32">
        <v>100</v>
      </c>
      <c r="E32">
        <v>3</v>
      </c>
      <c r="F32">
        <v>0</v>
      </c>
      <c r="G32">
        <v>320</v>
      </c>
      <c r="H32">
        <v>1</v>
      </c>
      <c r="I32">
        <v>20</v>
      </c>
      <c r="J32">
        <v>3</v>
      </c>
      <c r="K32">
        <v>45</v>
      </c>
      <c r="L32">
        <v>100</v>
      </c>
      <c r="M32">
        <v>3</v>
      </c>
      <c r="N32">
        <v>1</v>
      </c>
      <c r="O32">
        <v>1</v>
      </c>
      <c r="P32">
        <v>41.503540000000001</v>
      </c>
      <c r="Q32" t="str">
        <f t="shared" si="0"/>
        <v>Low Sugar</v>
      </c>
      <c r="R32">
        <f t="shared" si="1"/>
        <v>-2</v>
      </c>
      <c r="S32" t="str">
        <f t="shared" si="2"/>
        <v>Low Fiber</v>
      </c>
    </row>
    <row r="33" spans="1:19" x14ac:dyDescent="0.3">
      <c r="A33" t="s">
        <v>38</v>
      </c>
      <c r="B33" t="s">
        <v>25</v>
      </c>
      <c r="C33" t="s">
        <v>18</v>
      </c>
      <c r="D33">
        <v>110</v>
      </c>
      <c r="E33">
        <v>2</v>
      </c>
      <c r="F33">
        <v>0</v>
      </c>
      <c r="G33">
        <v>280</v>
      </c>
      <c r="H33">
        <v>0</v>
      </c>
      <c r="I33">
        <v>22</v>
      </c>
      <c r="J33">
        <v>3</v>
      </c>
      <c r="K33">
        <v>25</v>
      </c>
      <c r="L33">
        <v>25</v>
      </c>
      <c r="M33">
        <v>1</v>
      </c>
      <c r="N33">
        <v>1</v>
      </c>
      <c r="O33">
        <v>1</v>
      </c>
      <c r="P33">
        <v>41.445019000000002</v>
      </c>
      <c r="Q33" t="str">
        <f t="shared" si="0"/>
        <v>Low Sugar</v>
      </c>
      <c r="R33">
        <f t="shared" si="1"/>
        <v>-3</v>
      </c>
      <c r="S33" t="str">
        <f t="shared" si="2"/>
        <v>Low Fiber</v>
      </c>
    </row>
    <row r="34" spans="1:19" x14ac:dyDescent="0.3">
      <c r="A34" t="s">
        <v>52</v>
      </c>
      <c r="B34" t="s">
        <v>22</v>
      </c>
      <c r="C34" t="s">
        <v>18</v>
      </c>
      <c r="D34">
        <v>120</v>
      </c>
      <c r="E34">
        <v>3</v>
      </c>
      <c r="F34">
        <v>0</v>
      </c>
      <c r="G34">
        <v>240</v>
      </c>
      <c r="H34">
        <v>5</v>
      </c>
      <c r="I34">
        <v>14</v>
      </c>
      <c r="J34">
        <v>12</v>
      </c>
      <c r="K34">
        <v>190</v>
      </c>
      <c r="L34">
        <v>25</v>
      </c>
      <c r="M34">
        <v>3</v>
      </c>
      <c r="N34">
        <v>1.33</v>
      </c>
      <c r="O34">
        <v>0.67</v>
      </c>
      <c r="P34">
        <v>41.015492000000002</v>
      </c>
      <c r="Q34" t="str">
        <f t="shared" si="0"/>
        <v>High Sugar</v>
      </c>
      <c r="R34">
        <f t="shared" si="1"/>
        <v>-7</v>
      </c>
      <c r="S34" t="str">
        <f t="shared" si="2"/>
        <v>Low Fiber</v>
      </c>
    </row>
    <row r="35" spans="1:19" x14ac:dyDescent="0.3">
      <c r="A35" t="s">
        <v>51</v>
      </c>
      <c r="B35" t="s">
        <v>32</v>
      </c>
      <c r="C35" t="s">
        <v>18</v>
      </c>
      <c r="D35">
        <v>120</v>
      </c>
      <c r="E35">
        <v>3</v>
      </c>
      <c r="F35">
        <v>2</v>
      </c>
      <c r="G35">
        <v>160</v>
      </c>
      <c r="H35">
        <v>5</v>
      </c>
      <c r="I35">
        <v>12</v>
      </c>
      <c r="J35">
        <v>10</v>
      </c>
      <c r="K35">
        <v>200</v>
      </c>
      <c r="L35">
        <v>25</v>
      </c>
      <c r="M35">
        <v>3</v>
      </c>
      <c r="N35">
        <v>1.25</v>
      </c>
      <c r="O35">
        <v>0.67</v>
      </c>
      <c r="P35">
        <v>40.917046999999997</v>
      </c>
      <c r="Q35" t="str">
        <f t="shared" si="0"/>
        <v>Low Sugar</v>
      </c>
      <c r="R35">
        <f t="shared" si="1"/>
        <v>-5</v>
      </c>
      <c r="S35" t="str">
        <f t="shared" si="2"/>
        <v>Low Fiber</v>
      </c>
    </row>
    <row r="36" spans="1:19" x14ac:dyDescent="0.3">
      <c r="A36" t="s">
        <v>74</v>
      </c>
      <c r="B36" t="s">
        <v>22</v>
      </c>
      <c r="C36" t="s">
        <v>18</v>
      </c>
      <c r="D36">
        <v>140</v>
      </c>
      <c r="E36">
        <v>3</v>
      </c>
      <c r="F36">
        <v>2</v>
      </c>
      <c r="G36">
        <v>220</v>
      </c>
      <c r="H36">
        <v>3</v>
      </c>
      <c r="I36">
        <v>21</v>
      </c>
      <c r="J36">
        <v>7</v>
      </c>
      <c r="K36">
        <v>130</v>
      </c>
      <c r="L36">
        <v>25</v>
      </c>
      <c r="M36">
        <v>3</v>
      </c>
      <c r="N36">
        <v>1.33</v>
      </c>
      <c r="O36">
        <v>0.67</v>
      </c>
      <c r="P36">
        <v>40.692320000000002</v>
      </c>
      <c r="Q36" t="str">
        <f t="shared" si="0"/>
        <v>Low Sugar</v>
      </c>
      <c r="R36">
        <f t="shared" si="1"/>
        <v>-4</v>
      </c>
      <c r="S36" t="str">
        <f t="shared" si="2"/>
        <v>Low Fiber</v>
      </c>
    </row>
    <row r="37" spans="1:19" x14ac:dyDescent="0.3">
      <c r="A37" t="s">
        <v>86</v>
      </c>
      <c r="B37" t="s">
        <v>22</v>
      </c>
      <c r="C37" t="s">
        <v>18</v>
      </c>
      <c r="D37">
        <v>110</v>
      </c>
      <c r="E37">
        <v>2</v>
      </c>
      <c r="F37">
        <v>0</v>
      </c>
      <c r="G37">
        <v>290</v>
      </c>
      <c r="H37">
        <v>0</v>
      </c>
      <c r="I37">
        <v>22</v>
      </c>
      <c r="J37">
        <v>3</v>
      </c>
      <c r="K37">
        <v>35</v>
      </c>
      <c r="L37">
        <v>25</v>
      </c>
      <c r="M37">
        <v>1</v>
      </c>
      <c r="N37">
        <v>1</v>
      </c>
      <c r="O37">
        <v>1</v>
      </c>
      <c r="P37">
        <v>40.560158999999999</v>
      </c>
      <c r="Q37" t="str">
        <f t="shared" si="0"/>
        <v>Low Sugar</v>
      </c>
      <c r="R37">
        <f t="shared" si="1"/>
        <v>-3</v>
      </c>
      <c r="S37" t="str">
        <f t="shared" si="2"/>
        <v>Low Fiber</v>
      </c>
    </row>
    <row r="38" spans="1:19" x14ac:dyDescent="0.3">
      <c r="A38" t="s">
        <v>42</v>
      </c>
      <c r="B38" t="s">
        <v>22</v>
      </c>
      <c r="C38" t="s">
        <v>18</v>
      </c>
      <c r="D38">
        <v>110</v>
      </c>
      <c r="E38">
        <v>3</v>
      </c>
      <c r="F38">
        <v>3</v>
      </c>
      <c r="G38">
        <v>140</v>
      </c>
      <c r="H38">
        <v>4</v>
      </c>
      <c r="I38">
        <v>10</v>
      </c>
      <c r="J38">
        <v>7</v>
      </c>
      <c r="K38">
        <v>160</v>
      </c>
      <c r="L38">
        <v>25</v>
      </c>
      <c r="M38">
        <v>3</v>
      </c>
      <c r="N38">
        <v>1</v>
      </c>
      <c r="O38">
        <v>0.5</v>
      </c>
      <c r="P38">
        <v>40.448771999999998</v>
      </c>
      <c r="Q38" t="str">
        <f t="shared" si="0"/>
        <v>Low Sugar</v>
      </c>
      <c r="R38">
        <f t="shared" si="1"/>
        <v>-3</v>
      </c>
      <c r="S38" t="str">
        <f t="shared" si="2"/>
        <v>Low Fiber</v>
      </c>
    </row>
    <row r="39" spans="1:19" x14ac:dyDescent="0.3">
      <c r="A39" t="s">
        <v>36</v>
      </c>
      <c r="B39" t="s">
        <v>27</v>
      </c>
      <c r="C39" t="s">
        <v>18</v>
      </c>
      <c r="D39">
        <v>110</v>
      </c>
      <c r="E39">
        <v>3</v>
      </c>
      <c r="F39">
        <v>2</v>
      </c>
      <c r="G39">
        <v>140</v>
      </c>
      <c r="H39">
        <v>2</v>
      </c>
      <c r="I39">
        <v>13</v>
      </c>
      <c r="J39">
        <v>7</v>
      </c>
      <c r="K39">
        <v>105</v>
      </c>
      <c r="L39">
        <v>25</v>
      </c>
      <c r="M39">
        <v>3</v>
      </c>
      <c r="N39">
        <v>1</v>
      </c>
      <c r="O39">
        <v>0.5</v>
      </c>
      <c r="P39">
        <v>40.400207999999999</v>
      </c>
      <c r="Q39" t="str">
        <f t="shared" si="0"/>
        <v>Low Sugar</v>
      </c>
      <c r="R39">
        <f t="shared" si="1"/>
        <v>-5</v>
      </c>
      <c r="S39" t="str">
        <f t="shared" si="2"/>
        <v>Low Fiber</v>
      </c>
    </row>
    <row r="40" spans="1:19" x14ac:dyDescent="0.3">
      <c r="A40" t="s">
        <v>72</v>
      </c>
      <c r="B40" t="s">
        <v>27</v>
      </c>
      <c r="C40" t="s">
        <v>18</v>
      </c>
      <c r="D40">
        <v>100</v>
      </c>
      <c r="E40">
        <v>2</v>
      </c>
      <c r="F40">
        <v>1</v>
      </c>
      <c r="G40">
        <v>220</v>
      </c>
      <c r="H40">
        <v>2</v>
      </c>
      <c r="I40">
        <v>15</v>
      </c>
      <c r="J40">
        <v>6</v>
      </c>
      <c r="K40">
        <v>90</v>
      </c>
      <c r="L40">
        <v>25</v>
      </c>
      <c r="M40">
        <v>1</v>
      </c>
      <c r="N40">
        <v>1</v>
      </c>
      <c r="O40">
        <v>1</v>
      </c>
      <c r="P40">
        <v>40.105964999999998</v>
      </c>
      <c r="Q40" t="str">
        <f t="shared" si="0"/>
        <v>Low Sugar</v>
      </c>
      <c r="R40">
        <f t="shared" si="1"/>
        <v>-4</v>
      </c>
      <c r="S40" t="str">
        <f t="shared" si="2"/>
        <v>Low Fiber</v>
      </c>
    </row>
    <row r="41" spans="1:19" x14ac:dyDescent="0.3">
      <c r="A41" t="s">
        <v>83</v>
      </c>
      <c r="B41" t="s">
        <v>27</v>
      </c>
      <c r="C41" t="s">
        <v>18</v>
      </c>
      <c r="D41">
        <v>100</v>
      </c>
      <c r="E41">
        <v>3</v>
      </c>
      <c r="F41">
        <v>2</v>
      </c>
      <c r="G41">
        <v>140</v>
      </c>
      <c r="H41">
        <v>2.5</v>
      </c>
      <c r="I41">
        <v>10.5</v>
      </c>
      <c r="J41">
        <v>8</v>
      </c>
      <c r="K41">
        <v>140</v>
      </c>
      <c r="L41">
        <v>25</v>
      </c>
      <c r="M41">
        <v>3</v>
      </c>
      <c r="N41">
        <v>1</v>
      </c>
      <c r="O41">
        <v>0.5</v>
      </c>
      <c r="P41">
        <v>39.703400000000002</v>
      </c>
      <c r="Q41" t="str">
        <f t="shared" si="0"/>
        <v>Low Sugar</v>
      </c>
      <c r="R41">
        <f t="shared" si="1"/>
        <v>-5.5</v>
      </c>
      <c r="S41" t="str">
        <f t="shared" si="2"/>
        <v>Low Fiber</v>
      </c>
    </row>
    <row r="42" spans="1:19" x14ac:dyDescent="0.3">
      <c r="A42" t="s">
        <v>82</v>
      </c>
      <c r="B42" t="s">
        <v>22</v>
      </c>
      <c r="C42" t="s">
        <v>18</v>
      </c>
      <c r="D42">
        <v>120</v>
      </c>
      <c r="E42">
        <v>3</v>
      </c>
      <c r="F42">
        <v>1</v>
      </c>
      <c r="G42">
        <v>210</v>
      </c>
      <c r="H42">
        <v>5</v>
      </c>
      <c r="I42">
        <v>14</v>
      </c>
      <c r="J42">
        <v>12</v>
      </c>
      <c r="K42">
        <v>240</v>
      </c>
      <c r="L42">
        <v>25</v>
      </c>
      <c r="M42">
        <v>2</v>
      </c>
      <c r="N42">
        <v>1.33</v>
      </c>
      <c r="O42">
        <v>0.75</v>
      </c>
      <c r="P42">
        <v>39.259197</v>
      </c>
      <c r="Q42" t="str">
        <f t="shared" si="0"/>
        <v>High Sugar</v>
      </c>
      <c r="R42">
        <f t="shared" si="1"/>
        <v>-7</v>
      </c>
      <c r="S42" t="str">
        <f t="shared" si="2"/>
        <v>Low Fiber</v>
      </c>
    </row>
    <row r="43" spans="1:19" x14ac:dyDescent="0.3">
      <c r="A43" t="s">
        <v>64</v>
      </c>
      <c r="B43" t="s">
        <v>27</v>
      </c>
      <c r="C43" t="s">
        <v>18</v>
      </c>
      <c r="D43">
        <v>110</v>
      </c>
      <c r="E43">
        <v>2</v>
      </c>
      <c r="F43">
        <v>1</v>
      </c>
      <c r="G43">
        <v>260</v>
      </c>
      <c r="H43">
        <v>0</v>
      </c>
      <c r="I43">
        <v>21</v>
      </c>
      <c r="J43">
        <v>3</v>
      </c>
      <c r="K43">
        <v>40</v>
      </c>
      <c r="L43">
        <v>25</v>
      </c>
      <c r="M43">
        <v>2</v>
      </c>
      <c r="N43">
        <v>1</v>
      </c>
      <c r="O43">
        <v>1.5</v>
      </c>
      <c r="P43">
        <v>39.241114000000003</v>
      </c>
      <c r="Q43" t="str">
        <f t="shared" si="0"/>
        <v>Low Sugar</v>
      </c>
      <c r="R43">
        <f t="shared" si="1"/>
        <v>-3</v>
      </c>
      <c r="S43" t="str">
        <f t="shared" si="2"/>
        <v>Low Fiber</v>
      </c>
    </row>
    <row r="44" spans="1:19" x14ac:dyDescent="0.3">
      <c r="A44" t="s">
        <v>96</v>
      </c>
      <c r="B44" t="s">
        <v>27</v>
      </c>
      <c r="C44" t="s">
        <v>18</v>
      </c>
      <c r="D44">
        <v>110</v>
      </c>
      <c r="E44">
        <v>2</v>
      </c>
      <c r="F44">
        <v>1</v>
      </c>
      <c r="G44">
        <v>250</v>
      </c>
      <c r="H44">
        <v>0</v>
      </c>
      <c r="I44">
        <v>21</v>
      </c>
      <c r="J44">
        <v>3</v>
      </c>
      <c r="K44">
        <v>60</v>
      </c>
      <c r="L44">
        <v>25</v>
      </c>
      <c r="M44">
        <v>3</v>
      </c>
      <c r="N44">
        <v>1</v>
      </c>
      <c r="O44">
        <v>0.75</v>
      </c>
      <c r="P44">
        <v>39.106174000000003</v>
      </c>
      <c r="Q44" t="str">
        <f t="shared" si="0"/>
        <v>Low Sugar</v>
      </c>
      <c r="R44">
        <f t="shared" si="1"/>
        <v>-3</v>
      </c>
      <c r="S44" t="str">
        <f t="shared" si="2"/>
        <v>Low Fiber</v>
      </c>
    </row>
    <row r="45" spans="1:19" x14ac:dyDescent="0.3">
      <c r="A45" t="s">
        <v>93</v>
      </c>
      <c r="B45" t="s">
        <v>27</v>
      </c>
      <c r="C45" t="s">
        <v>18</v>
      </c>
      <c r="D45">
        <v>110</v>
      </c>
      <c r="E45">
        <v>2</v>
      </c>
      <c r="F45">
        <v>1</v>
      </c>
      <c r="G45">
        <v>200</v>
      </c>
      <c r="H45">
        <v>0</v>
      </c>
      <c r="I45">
        <v>21</v>
      </c>
      <c r="J45">
        <v>3</v>
      </c>
      <c r="K45">
        <v>35</v>
      </c>
      <c r="L45">
        <v>100</v>
      </c>
      <c r="M45">
        <v>3</v>
      </c>
      <c r="N45">
        <v>1</v>
      </c>
      <c r="O45">
        <v>1</v>
      </c>
      <c r="P45">
        <v>38.839745999999998</v>
      </c>
      <c r="Q45" t="str">
        <f t="shared" si="0"/>
        <v>Low Sugar</v>
      </c>
      <c r="R45">
        <f t="shared" si="1"/>
        <v>-3</v>
      </c>
      <c r="S45" t="str">
        <f t="shared" si="2"/>
        <v>Low Fiber</v>
      </c>
    </row>
    <row r="46" spans="1:19" x14ac:dyDescent="0.3">
      <c r="A46" t="s">
        <v>77</v>
      </c>
      <c r="B46" t="s">
        <v>32</v>
      </c>
      <c r="C46" t="s">
        <v>18</v>
      </c>
      <c r="D46">
        <v>120</v>
      </c>
      <c r="E46">
        <v>3</v>
      </c>
      <c r="F46">
        <v>1</v>
      </c>
      <c r="G46">
        <v>200</v>
      </c>
      <c r="H46">
        <v>6</v>
      </c>
      <c r="I46">
        <v>11</v>
      </c>
      <c r="J46">
        <v>14</v>
      </c>
      <c r="K46">
        <v>260</v>
      </c>
      <c r="L46">
        <v>25</v>
      </c>
      <c r="M46">
        <v>3</v>
      </c>
      <c r="N46">
        <v>1.33</v>
      </c>
      <c r="O46">
        <v>0.67</v>
      </c>
      <c r="P46">
        <v>37.840594000000003</v>
      </c>
      <c r="Q46" t="str">
        <f t="shared" si="0"/>
        <v>High Sugar</v>
      </c>
      <c r="R46">
        <f t="shared" si="1"/>
        <v>-8</v>
      </c>
      <c r="S46" t="str">
        <f t="shared" si="2"/>
        <v>High Fiber</v>
      </c>
    </row>
    <row r="47" spans="1:19" x14ac:dyDescent="0.3">
      <c r="A47" t="s">
        <v>69</v>
      </c>
      <c r="B47" t="s">
        <v>25</v>
      </c>
      <c r="C47" t="s">
        <v>18</v>
      </c>
      <c r="D47">
        <v>150</v>
      </c>
      <c r="E47">
        <v>4</v>
      </c>
      <c r="F47">
        <v>3</v>
      </c>
      <c r="G47">
        <v>95</v>
      </c>
      <c r="H47">
        <v>3</v>
      </c>
      <c r="I47">
        <v>16</v>
      </c>
      <c r="J47">
        <v>11</v>
      </c>
      <c r="K47">
        <v>170</v>
      </c>
      <c r="L47">
        <v>25</v>
      </c>
      <c r="M47">
        <v>3</v>
      </c>
      <c r="N47">
        <v>1</v>
      </c>
      <c r="O47">
        <v>1</v>
      </c>
      <c r="P47">
        <v>37.136862999999998</v>
      </c>
      <c r="Q47" t="str">
        <f t="shared" si="0"/>
        <v>High Sugar</v>
      </c>
      <c r="R47">
        <f t="shared" si="1"/>
        <v>-8</v>
      </c>
      <c r="S47" t="str">
        <f t="shared" si="2"/>
        <v>Low Fiber</v>
      </c>
    </row>
    <row r="48" spans="1:19" x14ac:dyDescent="0.3">
      <c r="A48" t="s">
        <v>29</v>
      </c>
      <c r="B48" t="s">
        <v>27</v>
      </c>
      <c r="C48" t="s">
        <v>18</v>
      </c>
      <c r="D48">
        <v>130</v>
      </c>
      <c r="E48">
        <v>3</v>
      </c>
      <c r="F48">
        <v>2</v>
      </c>
      <c r="G48">
        <v>210</v>
      </c>
      <c r="H48">
        <v>2</v>
      </c>
      <c r="I48">
        <v>18</v>
      </c>
      <c r="J48">
        <v>8</v>
      </c>
      <c r="K48">
        <v>100</v>
      </c>
      <c r="L48">
        <v>25</v>
      </c>
      <c r="M48">
        <v>3</v>
      </c>
      <c r="N48">
        <v>1.33</v>
      </c>
      <c r="O48">
        <v>0.75</v>
      </c>
      <c r="P48">
        <v>37.038561999999999</v>
      </c>
      <c r="Q48" t="str">
        <f t="shared" si="0"/>
        <v>Low Sugar</v>
      </c>
      <c r="R48">
        <f t="shared" si="1"/>
        <v>-6</v>
      </c>
      <c r="S48" t="str">
        <f t="shared" si="2"/>
        <v>Low Fiber</v>
      </c>
    </row>
    <row r="49" spans="1:19" x14ac:dyDescent="0.3">
      <c r="A49" t="s">
        <v>62</v>
      </c>
      <c r="B49" t="s">
        <v>22</v>
      </c>
      <c r="C49" t="s">
        <v>18</v>
      </c>
      <c r="D49">
        <v>110</v>
      </c>
      <c r="E49">
        <v>2</v>
      </c>
      <c r="F49">
        <v>1</v>
      </c>
      <c r="G49">
        <v>170</v>
      </c>
      <c r="H49">
        <v>1</v>
      </c>
      <c r="I49">
        <v>17</v>
      </c>
      <c r="J49">
        <v>6</v>
      </c>
      <c r="K49">
        <v>60</v>
      </c>
      <c r="L49">
        <v>100</v>
      </c>
      <c r="M49">
        <v>3</v>
      </c>
      <c r="N49">
        <v>1</v>
      </c>
      <c r="O49">
        <v>1</v>
      </c>
      <c r="P49">
        <v>36.523682999999998</v>
      </c>
      <c r="Q49" t="str">
        <f t="shared" si="0"/>
        <v>Low Sugar</v>
      </c>
      <c r="R49">
        <f t="shared" si="1"/>
        <v>-5</v>
      </c>
      <c r="S49" t="str">
        <f t="shared" si="2"/>
        <v>Low Fiber</v>
      </c>
    </row>
    <row r="50" spans="1:19" x14ac:dyDescent="0.3">
      <c r="A50" t="s">
        <v>63</v>
      </c>
      <c r="B50" t="s">
        <v>22</v>
      </c>
      <c r="C50" t="s">
        <v>18</v>
      </c>
      <c r="D50">
        <v>140</v>
      </c>
      <c r="E50">
        <v>3</v>
      </c>
      <c r="F50">
        <v>1</v>
      </c>
      <c r="G50">
        <v>170</v>
      </c>
      <c r="H50">
        <v>2</v>
      </c>
      <c r="I50">
        <v>20</v>
      </c>
      <c r="J50">
        <v>9</v>
      </c>
      <c r="K50">
        <v>95</v>
      </c>
      <c r="L50">
        <v>100</v>
      </c>
      <c r="M50">
        <v>3</v>
      </c>
      <c r="N50">
        <v>1.3</v>
      </c>
      <c r="O50">
        <v>0.75</v>
      </c>
      <c r="P50">
        <v>36.471511999999997</v>
      </c>
      <c r="Q50" t="str">
        <f t="shared" si="0"/>
        <v>Low Sugar</v>
      </c>
      <c r="R50">
        <f t="shared" si="1"/>
        <v>-7</v>
      </c>
      <c r="S50" t="str">
        <f t="shared" si="2"/>
        <v>Low Fiber</v>
      </c>
    </row>
    <row r="51" spans="1:19" x14ac:dyDescent="0.3">
      <c r="A51" t="s">
        <v>100</v>
      </c>
      <c r="B51" t="s">
        <v>27</v>
      </c>
      <c r="C51" t="s">
        <v>18</v>
      </c>
      <c r="D51">
        <v>110</v>
      </c>
      <c r="E51">
        <v>2</v>
      </c>
      <c r="F51">
        <v>1</v>
      </c>
      <c r="G51">
        <v>200</v>
      </c>
      <c r="H51">
        <v>1</v>
      </c>
      <c r="I51">
        <v>16</v>
      </c>
      <c r="J51">
        <v>8</v>
      </c>
      <c r="K51">
        <v>60</v>
      </c>
      <c r="L51">
        <v>25</v>
      </c>
      <c r="M51">
        <v>1</v>
      </c>
      <c r="N51">
        <v>1</v>
      </c>
      <c r="O51">
        <v>0.75</v>
      </c>
      <c r="P51">
        <v>36.187559</v>
      </c>
      <c r="Q51" t="str">
        <f t="shared" si="0"/>
        <v>Low Sugar</v>
      </c>
      <c r="R51">
        <f t="shared" si="1"/>
        <v>-7</v>
      </c>
      <c r="S51" t="str">
        <f t="shared" si="2"/>
        <v>Low Fiber</v>
      </c>
    </row>
    <row r="52" spans="1:19" x14ac:dyDescent="0.3">
      <c r="A52" t="s">
        <v>46</v>
      </c>
      <c r="B52" t="s">
        <v>27</v>
      </c>
      <c r="C52" t="s">
        <v>18</v>
      </c>
      <c r="D52">
        <v>100</v>
      </c>
      <c r="E52">
        <v>2</v>
      </c>
      <c r="F52">
        <v>1</v>
      </c>
      <c r="G52">
        <v>140</v>
      </c>
      <c r="H52">
        <v>2</v>
      </c>
      <c r="I52">
        <v>11</v>
      </c>
      <c r="J52">
        <v>10</v>
      </c>
      <c r="K52">
        <v>120</v>
      </c>
      <c r="L52">
        <v>25</v>
      </c>
      <c r="M52">
        <v>3</v>
      </c>
      <c r="N52">
        <v>1</v>
      </c>
      <c r="O52">
        <v>0.75</v>
      </c>
      <c r="P52">
        <v>36.176195999999997</v>
      </c>
      <c r="Q52" t="str">
        <f t="shared" si="0"/>
        <v>Low Sugar</v>
      </c>
      <c r="R52">
        <f t="shared" si="1"/>
        <v>-8</v>
      </c>
      <c r="S52" t="str">
        <f t="shared" si="2"/>
        <v>Low Fiber</v>
      </c>
    </row>
    <row r="53" spans="1:19" x14ac:dyDescent="0.3">
      <c r="A53" t="s">
        <v>40</v>
      </c>
      <c r="B53" t="s">
        <v>22</v>
      </c>
      <c r="C53" t="s">
        <v>18</v>
      </c>
      <c r="D53">
        <v>110</v>
      </c>
      <c r="E53">
        <v>1</v>
      </c>
      <c r="F53">
        <v>0</v>
      </c>
      <c r="G53">
        <v>90</v>
      </c>
      <c r="H53">
        <v>1</v>
      </c>
      <c r="I53">
        <v>13</v>
      </c>
      <c r="J53">
        <v>12</v>
      </c>
      <c r="K53">
        <v>20</v>
      </c>
      <c r="L53">
        <v>25</v>
      </c>
      <c r="M53">
        <v>2</v>
      </c>
      <c r="N53">
        <v>1</v>
      </c>
      <c r="O53">
        <v>1</v>
      </c>
      <c r="P53">
        <v>35.782791000000003</v>
      </c>
      <c r="Q53" t="str">
        <f t="shared" si="0"/>
        <v>High Sugar</v>
      </c>
      <c r="R53">
        <f t="shared" si="1"/>
        <v>-11</v>
      </c>
      <c r="S53" t="str">
        <f t="shared" si="2"/>
        <v>Low Fiber</v>
      </c>
    </row>
    <row r="54" spans="1:19" x14ac:dyDescent="0.3">
      <c r="A54" t="s">
        <v>54</v>
      </c>
      <c r="B54" t="s">
        <v>32</v>
      </c>
      <c r="C54" t="s">
        <v>18</v>
      </c>
      <c r="D54">
        <v>100</v>
      </c>
      <c r="E54">
        <v>2</v>
      </c>
      <c r="F54">
        <v>0</v>
      </c>
      <c r="G54">
        <v>45</v>
      </c>
      <c r="H54">
        <v>0</v>
      </c>
      <c r="I54">
        <v>11</v>
      </c>
      <c r="J54">
        <v>15</v>
      </c>
      <c r="K54">
        <v>40</v>
      </c>
      <c r="L54">
        <v>25</v>
      </c>
      <c r="M54">
        <v>1</v>
      </c>
      <c r="N54">
        <v>1</v>
      </c>
      <c r="O54">
        <v>0.88</v>
      </c>
      <c r="P54">
        <v>35.252443999999997</v>
      </c>
      <c r="Q54" t="str">
        <f t="shared" si="0"/>
        <v>High Sugar</v>
      </c>
      <c r="R54">
        <f t="shared" si="1"/>
        <v>-15</v>
      </c>
      <c r="S54" t="str">
        <f t="shared" si="2"/>
        <v>Low Fiber</v>
      </c>
    </row>
    <row r="55" spans="1:19" x14ac:dyDescent="0.3">
      <c r="A55" t="s">
        <v>24</v>
      </c>
      <c r="B55" t="s">
        <v>25</v>
      </c>
      <c r="C55" t="s">
        <v>18</v>
      </c>
      <c r="D55">
        <v>110</v>
      </c>
      <c r="E55">
        <v>2</v>
      </c>
      <c r="F55">
        <v>2</v>
      </c>
      <c r="G55">
        <v>200</v>
      </c>
      <c r="H55">
        <v>1</v>
      </c>
      <c r="I55">
        <v>14</v>
      </c>
      <c r="J55">
        <v>8</v>
      </c>
      <c r="K55">
        <v>-1</v>
      </c>
      <c r="L55">
        <v>25</v>
      </c>
      <c r="M55">
        <v>3</v>
      </c>
      <c r="N55">
        <v>1</v>
      </c>
      <c r="O55">
        <v>0.75</v>
      </c>
      <c r="P55">
        <v>34.384842999999996</v>
      </c>
      <c r="Q55" t="str">
        <f t="shared" si="0"/>
        <v>Low Sugar</v>
      </c>
      <c r="R55">
        <f t="shared" si="1"/>
        <v>-7</v>
      </c>
      <c r="S55" t="str">
        <f t="shared" si="2"/>
        <v>Low Fiber</v>
      </c>
    </row>
    <row r="56" spans="1:19" x14ac:dyDescent="0.3">
      <c r="A56" t="s">
        <v>70</v>
      </c>
      <c r="B56" t="s">
        <v>25</v>
      </c>
      <c r="C56" t="s">
        <v>18</v>
      </c>
      <c r="D56">
        <v>150</v>
      </c>
      <c r="E56">
        <v>4</v>
      </c>
      <c r="F56">
        <v>3</v>
      </c>
      <c r="G56">
        <v>150</v>
      </c>
      <c r="H56">
        <v>3</v>
      </c>
      <c r="I56">
        <v>16</v>
      </c>
      <c r="J56">
        <v>11</v>
      </c>
      <c r="K56">
        <v>170</v>
      </c>
      <c r="L56">
        <v>25</v>
      </c>
      <c r="M56">
        <v>3</v>
      </c>
      <c r="N56">
        <v>1</v>
      </c>
      <c r="O56">
        <v>1</v>
      </c>
      <c r="P56">
        <v>34.139764999999997</v>
      </c>
      <c r="Q56" t="str">
        <f t="shared" si="0"/>
        <v>High Sugar</v>
      </c>
      <c r="R56">
        <f t="shared" si="1"/>
        <v>-8</v>
      </c>
      <c r="S56" t="str">
        <f t="shared" si="2"/>
        <v>Low Fiber</v>
      </c>
    </row>
    <row r="57" spans="1:19" x14ac:dyDescent="0.3">
      <c r="A57" t="s">
        <v>19</v>
      </c>
      <c r="B57" t="s">
        <v>20</v>
      </c>
      <c r="C57" t="s">
        <v>18</v>
      </c>
      <c r="D57">
        <v>120</v>
      </c>
      <c r="E57">
        <v>3</v>
      </c>
      <c r="F57">
        <v>5</v>
      </c>
      <c r="G57">
        <v>15</v>
      </c>
      <c r="H57">
        <v>2</v>
      </c>
      <c r="I57">
        <v>8</v>
      </c>
      <c r="J57">
        <v>8</v>
      </c>
      <c r="K57">
        <v>135</v>
      </c>
      <c r="L57">
        <v>0</v>
      </c>
      <c r="M57">
        <v>3</v>
      </c>
      <c r="N57">
        <v>1</v>
      </c>
      <c r="O57">
        <v>1</v>
      </c>
      <c r="P57">
        <v>33.983679000000002</v>
      </c>
      <c r="Q57" t="str">
        <f t="shared" si="0"/>
        <v>Low Sugar</v>
      </c>
      <c r="R57">
        <f t="shared" si="1"/>
        <v>-6</v>
      </c>
      <c r="S57" t="str">
        <f t="shared" si="2"/>
        <v>Low Fiber</v>
      </c>
    </row>
    <row r="58" spans="1:19" x14ac:dyDescent="0.3">
      <c r="A58" t="s">
        <v>28</v>
      </c>
      <c r="B58" t="s">
        <v>22</v>
      </c>
      <c r="C58" t="s">
        <v>18</v>
      </c>
      <c r="D58">
        <v>110</v>
      </c>
      <c r="E58">
        <v>2</v>
      </c>
      <c r="F58">
        <v>0</v>
      </c>
      <c r="G58">
        <v>125</v>
      </c>
      <c r="H58">
        <v>1</v>
      </c>
      <c r="I58">
        <v>11</v>
      </c>
      <c r="J58">
        <v>14</v>
      </c>
      <c r="K58">
        <v>30</v>
      </c>
      <c r="L58">
        <v>25</v>
      </c>
      <c r="M58">
        <v>2</v>
      </c>
      <c r="N58">
        <v>1</v>
      </c>
      <c r="O58">
        <v>1</v>
      </c>
      <c r="P58">
        <v>33.174093999999997</v>
      </c>
      <c r="Q58" t="str">
        <f t="shared" si="0"/>
        <v>High Sugar</v>
      </c>
      <c r="R58">
        <f t="shared" si="1"/>
        <v>-13</v>
      </c>
      <c r="S58" t="str">
        <f t="shared" si="2"/>
        <v>Low Fiber</v>
      </c>
    </row>
    <row r="59" spans="1:19" x14ac:dyDescent="0.3">
      <c r="A59" t="s">
        <v>48</v>
      </c>
      <c r="B59" t="s">
        <v>22</v>
      </c>
      <c r="C59" t="s">
        <v>18</v>
      </c>
      <c r="D59">
        <v>110</v>
      </c>
      <c r="E59">
        <v>2</v>
      </c>
      <c r="F59">
        <v>1</v>
      </c>
      <c r="G59">
        <v>125</v>
      </c>
      <c r="H59">
        <v>1</v>
      </c>
      <c r="I59">
        <v>11</v>
      </c>
      <c r="J59">
        <v>13</v>
      </c>
      <c r="K59">
        <v>30</v>
      </c>
      <c r="L59">
        <v>25</v>
      </c>
      <c r="M59">
        <v>2</v>
      </c>
      <c r="N59">
        <v>1</v>
      </c>
      <c r="O59">
        <v>1</v>
      </c>
      <c r="P59">
        <v>32.207582000000002</v>
      </c>
      <c r="Q59" t="str">
        <f t="shared" si="0"/>
        <v>High Sugar</v>
      </c>
      <c r="R59">
        <f t="shared" si="1"/>
        <v>-12</v>
      </c>
      <c r="S59" t="str">
        <f t="shared" si="2"/>
        <v>Low Fiber</v>
      </c>
    </row>
    <row r="60" spans="1:19" x14ac:dyDescent="0.3">
      <c r="A60" t="s">
        <v>49</v>
      </c>
      <c r="B60" t="s">
        <v>22</v>
      </c>
      <c r="C60" t="s">
        <v>18</v>
      </c>
      <c r="D60">
        <v>110</v>
      </c>
      <c r="E60">
        <v>1</v>
      </c>
      <c r="F60">
        <v>0</v>
      </c>
      <c r="G60">
        <v>200</v>
      </c>
      <c r="H60">
        <v>1</v>
      </c>
      <c r="I60">
        <v>14</v>
      </c>
      <c r="J60">
        <v>11</v>
      </c>
      <c r="K60">
        <v>25</v>
      </c>
      <c r="L60">
        <v>25</v>
      </c>
      <c r="M60">
        <v>1</v>
      </c>
      <c r="N60">
        <v>1</v>
      </c>
      <c r="O60">
        <v>0.75</v>
      </c>
      <c r="P60">
        <v>31.435973000000001</v>
      </c>
      <c r="Q60" t="str">
        <f t="shared" si="0"/>
        <v>High Sugar</v>
      </c>
      <c r="R60">
        <f t="shared" si="1"/>
        <v>-10</v>
      </c>
      <c r="S60" t="str">
        <f t="shared" si="2"/>
        <v>Low Fiber</v>
      </c>
    </row>
    <row r="61" spans="1:19" x14ac:dyDescent="0.3">
      <c r="A61" t="s">
        <v>90</v>
      </c>
      <c r="B61" t="s">
        <v>22</v>
      </c>
      <c r="C61" t="s">
        <v>18</v>
      </c>
      <c r="D61">
        <v>110</v>
      </c>
      <c r="E61">
        <v>2</v>
      </c>
      <c r="F61">
        <v>1</v>
      </c>
      <c r="G61">
        <v>70</v>
      </c>
      <c r="H61">
        <v>1</v>
      </c>
      <c r="I61">
        <v>9</v>
      </c>
      <c r="J61">
        <v>15</v>
      </c>
      <c r="K61">
        <v>40</v>
      </c>
      <c r="L61">
        <v>25</v>
      </c>
      <c r="M61">
        <v>2</v>
      </c>
      <c r="N61">
        <v>1</v>
      </c>
      <c r="O61">
        <v>0.75</v>
      </c>
      <c r="P61">
        <v>31.230053999999999</v>
      </c>
      <c r="Q61" t="str">
        <f t="shared" si="0"/>
        <v>High Sugar</v>
      </c>
      <c r="R61">
        <f t="shared" si="1"/>
        <v>-14</v>
      </c>
      <c r="S61" t="str">
        <f t="shared" si="2"/>
        <v>Low Fiber</v>
      </c>
    </row>
    <row r="62" spans="1:19" x14ac:dyDescent="0.3">
      <c r="A62" t="s">
        <v>60</v>
      </c>
      <c r="B62" t="s">
        <v>27</v>
      </c>
      <c r="C62" t="s">
        <v>18</v>
      </c>
      <c r="D62">
        <v>110</v>
      </c>
      <c r="E62">
        <v>3</v>
      </c>
      <c r="F62">
        <v>1</v>
      </c>
      <c r="G62">
        <v>250</v>
      </c>
      <c r="H62">
        <v>1.5</v>
      </c>
      <c r="I62">
        <v>11.5</v>
      </c>
      <c r="J62">
        <v>10</v>
      </c>
      <c r="K62">
        <v>90</v>
      </c>
      <c r="L62">
        <v>25</v>
      </c>
      <c r="M62">
        <v>1</v>
      </c>
      <c r="N62">
        <v>1</v>
      </c>
      <c r="O62">
        <v>0.75</v>
      </c>
      <c r="P62">
        <v>31.072216999999998</v>
      </c>
      <c r="Q62" t="str">
        <f t="shared" si="0"/>
        <v>Low Sugar</v>
      </c>
      <c r="R62">
        <f t="shared" si="1"/>
        <v>-8.5</v>
      </c>
      <c r="S62" t="str">
        <f t="shared" si="2"/>
        <v>Low Fiber</v>
      </c>
    </row>
    <row r="63" spans="1:19" x14ac:dyDescent="0.3">
      <c r="A63" t="s">
        <v>76</v>
      </c>
      <c r="B63" t="s">
        <v>27</v>
      </c>
      <c r="C63" t="s">
        <v>18</v>
      </c>
      <c r="D63">
        <v>130</v>
      </c>
      <c r="E63">
        <v>3</v>
      </c>
      <c r="F63">
        <v>2</v>
      </c>
      <c r="G63">
        <v>170</v>
      </c>
      <c r="H63">
        <v>1.5</v>
      </c>
      <c r="I63">
        <v>13.5</v>
      </c>
      <c r="J63">
        <v>10</v>
      </c>
      <c r="K63">
        <v>120</v>
      </c>
      <c r="L63">
        <v>25</v>
      </c>
      <c r="M63">
        <v>3</v>
      </c>
      <c r="N63">
        <v>1.25</v>
      </c>
      <c r="O63">
        <v>0.5</v>
      </c>
      <c r="P63">
        <v>30.450842999999999</v>
      </c>
      <c r="Q63" t="str">
        <f t="shared" si="0"/>
        <v>Low Sugar</v>
      </c>
      <c r="R63">
        <f t="shared" si="1"/>
        <v>-8.5</v>
      </c>
      <c r="S63" t="str">
        <f t="shared" si="2"/>
        <v>Low Fiber</v>
      </c>
    </row>
    <row r="64" spans="1:19" x14ac:dyDescent="0.3">
      <c r="A64" t="s">
        <v>71</v>
      </c>
      <c r="B64" t="s">
        <v>22</v>
      </c>
      <c r="C64" t="s">
        <v>18</v>
      </c>
      <c r="D64">
        <v>160</v>
      </c>
      <c r="E64">
        <v>3</v>
      </c>
      <c r="F64">
        <v>2</v>
      </c>
      <c r="G64">
        <v>150</v>
      </c>
      <c r="H64">
        <v>3</v>
      </c>
      <c r="I64">
        <v>17</v>
      </c>
      <c r="J64">
        <v>13</v>
      </c>
      <c r="K64">
        <v>160</v>
      </c>
      <c r="L64">
        <v>25</v>
      </c>
      <c r="M64">
        <v>3</v>
      </c>
      <c r="N64">
        <v>1.5</v>
      </c>
      <c r="O64">
        <v>0.67</v>
      </c>
      <c r="P64">
        <v>30.313351000000001</v>
      </c>
      <c r="Q64" t="str">
        <f t="shared" si="0"/>
        <v>High Sugar</v>
      </c>
      <c r="R64">
        <f t="shared" si="1"/>
        <v>-10</v>
      </c>
      <c r="S64" t="str">
        <f t="shared" si="2"/>
        <v>Low Fiber</v>
      </c>
    </row>
    <row r="65" spans="1:19" x14ac:dyDescent="0.3">
      <c r="A65" t="s">
        <v>73</v>
      </c>
      <c r="B65" t="s">
        <v>22</v>
      </c>
      <c r="C65" t="s">
        <v>18</v>
      </c>
      <c r="D65">
        <v>120</v>
      </c>
      <c r="E65">
        <v>2</v>
      </c>
      <c r="F65">
        <v>1</v>
      </c>
      <c r="G65">
        <v>190</v>
      </c>
      <c r="H65">
        <v>0</v>
      </c>
      <c r="I65">
        <v>15</v>
      </c>
      <c r="J65">
        <v>9</v>
      </c>
      <c r="K65">
        <v>40</v>
      </c>
      <c r="L65">
        <v>25</v>
      </c>
      <c r="M65">
        <v>2</v>
      </c>
      <c r="N65">
        <v>1</v>
      </c>
      <c r="O65">
        <v>0.67</v>
      </c>
      <c r="P65">
        <v>29.924285000000001</v>
      </c>
      <c r="Q65" t="str">
        <f t="shared" si="0"/>
        <v>Low Sugar</v>
      </c>
      <c r="R65">
        <f t="shared" si="1"/>
        <v>-9</v>
      </c>
      <c r="S65" t="str">
        <f t="shared" si="2"/>
        <v>Low Fiber</v>
      </c>
    </row>
    <row r="66" spans="1:19" x14ac:dyDescent="0.3">
      <c r="A66" t="s">
        <v>26</v>
      </c>
      <c r="B66" t="s">
        <v>27</v>
      </c>
      <c r="C66" t="s">
        <v>18</v>
      </c>
      <c r="D66">
        <v>110</v>
      </c>
      <c r="E66">
        <v>2</v>
      </c>
      <c r="F66">
        <v>2</v>
      </c>
      <c r="G66">
        <v>180</v>
      </c>
      <c r="H66">
        <v>1.5</v>
      </c>
      <c r="I66">
        <v>10.5</v>
      </c>
      <c r="J66">
        <v>10</v>
      </c>
      <c r="K66">
        <v>70</v>
      </c>
      <c r="L66">
        <v>25</v>
      </c>
      <c r="M66">
        <v>1</v>
      </c>
      <c r="N66">
        <v>1</v>
      </c>
      <c r="O66">
        <v>0.75</v>
      </c>
      <c r="P66">
        <v>29.509540999999999</v>
      </c>
      <c r="Q66" t="str">
        <f t="shared" ref="Q66:Q77" si="3">IF(J66&gt;10,"High Sugar","Low Sugar")</f>
        <v>Low Sugar</v>
      </c>
      <c r="R66">
        <f t="shared" ref="R66:R77" si="4">H66-J66</f>
        <v>-8.5</v>
      </c>
      <c r="S66" t="str">
        <f t="shared" si="2"/>
        <v>Low Fiber</v>
      </c>
    </row>
    <row r="67" spans="1:19" x14ac:dyDescent="0.3">
      <c r="A67" t="s">
        <v>61</v>
      </c>
      <c r="B67" t="s">
        <v>32</v>
      </c>
      <c r="C67" t="s">
        <v>18</v>
      </c>
      <c r="D67">
        <v>110</v>
      </c>
      <c r="E67">
        <v>1</v>
      </c>
      <c r="F67">
        <v>0</v>
      </c>
      <c r="G67">
        <v>180</v>
      </c>
      <c r="H67">
        <v>0</v>
      </c>
      <c r="I67">
        <v>14</v>
      </c>
      <c r="J67">
        <v>11</v>
      </c>
      <c r="K67">
        <v>35</v>
      </c>
      <c r="L67">
        <v>25</v>
      </c>
      <c r="M67">
        <v>1</v>
      </c>
      <c r="N67">
        <v>1</v>
      </c>
      <c r="O67">
        <v>1.33</v>
      </c>
      <c r="P67">
        <v>28.742414</v>
      </c>
      <c r="Q67" t="str">
        <f t="shared" si="3"/>
        <v>High Sugar</v>
      </c>
      <c r="R67">
        <f t="shared" si="4"/>
        <v>-11</v>
      </c>
      <c r="S67" t="str">
        <f t="shared" ref="S67:S77" si="5">IF(H67&gt;5,"High Fiber","Low Fiber")</f>
        <v>Low Fiber</v>
      </c>
    </row>
    <row r="68" spans="1:19" x14ac:dyDescent="0.3">
      <c r="A68" t="s">
        <v>94</v>
      </c>
      <c r="B68" t="s">
        <v>27</v>
      </c>
      <c r="C68" t="s">
        <v>18</v>
      </c>
      <c r="D68">
        <v>140</v>
      </c>
      <c r="E68">
        <v>3</v>
      </c>
      <c r="F68">
        <v>1</v>
      </c>
      <c r="G68">
        <v>190</v>
      </c>
      <c r="H68">
        <v>4</v>
      </c>
      <c r="I68">
        <v>15</v>
      </c>
      <c r="J68">
        <v>14</v>
      </c>
      <c r="K68">
        <v>230</v>
      </c>
      <c r="L68">
        <v>100</v>
      </c>
      <c r="M68">
        <v>3</v>
      </c>
      <c r="N68">
        <v>1.5</v>
      </c>
      <c r="O68">
        <v>1</v>
      </c>
      <c r="P68">
        <v>28.592784999999999</v>
      </c>
      <c r="Q68" t="str">
        <f t="shared" si="3"/>
        <v>High Sugar</v>
      </c>
      <c r="R68">
        <f t="shared" si="4"/>
        <v>-10</v>
      </c>
      <c r="S68" t="str">
        <f t="shared" si="5"/>
        <v>Low Fiber</v>
      </c>
    </row>
    <row r="69" spans="1:19" x14ac:dyDescent="0.3">
      <c r="A69" t="s">
        <v>53</v>
      </c>
      <c r="B69" t="s">
        <v>32</v>
      </c>
      <c r="C69" t="s">
        <v>18</v>
      </c>
      <c r="D69">
        <v>110</v>
      </c>
      <c r="E69">
        <v>1</v>
      </c>
      <c r="F69">
        <v>1</v>
      </c>
      <c r="G69">
        <v>135</v>
      </c>
      <c r="H69">
        <v>0</v>
      </c>
      <c r="I69">
        <v>13</v>
      </c>
      <c r="J69">
        <v>12</v>
      </c>
      <c r="K69">
        <v>25</v>
      </c>
      <c r="L69">
        <v>25</v>
      </c>
      <c r="M69">
        <v>2</v>
      </c>
      <c r="N69">
        <v>1</v>
      </c>
      <c r="O69">
        <v>0.75</v>
      </c>
      <c r="P69">
        <v>28.025765</v>
      </c>
      <c r="Q69" t="str">
        <f t="shared" si="3"/>
        <v>High Sugar</v>
      </c>
      <c r="R69">
        <f t="shared" si="4"/>
        <v>-12</v>
      </c>
      <c r="S69" t="str">
        <f t="shared" si="5"/>
        <v>Low Fiber</v>
      </c>
    </row>
    <row r="70" spans="1:19" x14ac:dyDescent="0.3">
      <c r="A70" t="s">
        <v>97</v>
      </c>
      <c r="B70" t="s">
        <v>27</v>
      </c>
      <c r="C70" t="s">
        <v>18</v>
      </c>
      <c r="D70">
        <v>110</v>
      </c>
      <c r="E70">
        <v>1</v>
      </c>
      <c r="F70">
        <v>1</v>
      </c>
      <c r="G70">
        <v>140</v>
      </c>
      <c r="H70">
        <v>0</v>
      </c>
      <c r="I70">
        <v>13</v>
      </c>
      <c r="J70">
        <v>12</v>
      </c>
      <c r="K70">
        <v>25</v>
      </c>
      <c r="L70">
        <v>25</v>
      </c>
      <c r="M70">
        <v>2</v>
      </c>
      <c r="N70">
        <v>1</v>
      </c>
      <c r="O70">
        <v>1</v>
      </c>
      <c r="P70">
        <v>27.753301</v>
      </c>
      <c r="Q70" t="str">
        <f t="shared" si="3"/>
        <v>High Sugar</v>
      </c>
      <c r="R70">
        <f t="shared" si="4"/>
        <v>-12</v>
      </c>
      <c r="S70" t="str">
        <f t="shared" si="5"/>
        <v>Low Fiber</v>
      </c>
    </row>
    <row r="71" spans="1:19" x14ac:dyDescent="0.3">
      <c r="A71" t="s">
        <v>66</v>
      </c>
      <c r="B71" t="s">
        <v>27</v>
      </c>
      <c r="C71" t="s">
        <v>18</v>
      </c>
      <c r="D71">
        <v>110</v>
      </c>
      <c r="E71">
        <v>2</v>
      </c>
      <c r="F71">
        <v>1</v>
      </c>
      <c r="G71">
        <v>180</v>
      </c>
      <c r="H71">
        <v>0</v>
      </c>
      <c r="I71">
        <v>12</v>
      </c>
      <c r="J71">
        <v>12</v>
      </c>
      <c r="K71">
        <v>55</v>
      </c>
      <c r="L71">
        <v>25</v>
      </c>
      <c r="M71">
        <v>2</v>
      </c>
      <c r="N71">
        <v>1</v>
      </c>
      <c r="O71">
        <v>1</v>
      </c>
      <c r="P71">
        <v>26.734514999999998</v>
      </c>
      <c r="Q71" t="str">
        <f t="shared" si="3"/>
        <v>High Sugar</v>
      </c>
      <c r="R71">
        <f t="shared" si="4"/>
        <v>-12</v>
      </c>
      <c r="S71" t="str">
        <f t="shared" si="5"/>
        <v>Low Fiber</v>
      </c>
    </row>
    <row r="72" spans="1:19" x14ac:dyDescent="0.3">
      <c r="A72" t="s">
        <v>55</v>
      </c>
      <c r="B72" t="s">
        <v>27</v>
      </c>
      <c r="C72" t="s">
        <v>18</v>
      </c>
      <c r="D72">
        <v>110</v>
      </c>
      <c r="E72">
        <v>1</v>
      </c>
      <c r="F72">
        <v>1</v>
      </c>
      <c r="G72">
        <v>280</v>
      </c>
      <c r="H72">
        <v>0</v>
      </c>
      <c r="I72">
        <v>15</v>
      </c>
      <c r="J72">
        <v>9</v>
      </c>
      <c r="K72">
        <v>45</v>
      </c>
      <c r="L72">
        <v>25</v>
      </c>
      <c r="M72">
        <v>2</v>
      </c>
      <c r="N72">
        <v>1</v>
      </c>
      <c r="O72">
        <v>0.75</v>
      </c>
      <c r="P72">
        <v>23.804043</v>
      </c>
      <c r="Q72" t="str">
        <f t="shared" si="3"/>
        <v>Low Sugar</v>
      </c>
      <c r="R72">
        <f t="shared" si="4"/>
        <v>-9</v>
      </c>
      <c r="S72" t="str">
        <f t="shared" si="5"/>
        <v>Low Fiber</v>
      </c>
    </row>
    <row r="73" spans="1:19" x14ac:dyDescent="0.3">
      <c r="A73" t="s">
        <v>37</v>
      </c>
      <c r="B73" t="s">
        <v>27</v>
      </c>
      <c r="C73" t="s">
        <v>18</v>
      </c>
      <c r="D73">
        <v>110</v>
      </c>
      <c r="E73">
        <v>1</v>
      </c>
      <c r="F73">
        <v>1</v>
      </c>
      <c r="G73">
        <v>180</v>
      </c>
      <c r="H73">
        <v>0</v>
      </c>
      <c r="I73">
        <v>12</v>
      </c>
      <c r="J73">
        <v>13</v>
      </c>
      <c r="K73">
        <v>55</v>
      </c>
      <c r="L73">
        <v>25</v>
      </c>
      <c r="M73">
        <v>2</v>
      </c>
      <c r="N73">
        <v>1</v>
      </c>
      <c r="O73">
        <v>1</v>
      </c>
      <c r="P73">
        <v>22.736446000000001</v>
      </c>
      <c r="Q73" t="str">
        <f t="shared" si="3"/>
        <v>High Sugar</v>
      </c>
      <c r="R73">
        <f t="shared" si="4"/>
        <v>-13</v>
      </c>
      <c r="S73" t="str">
        <f t="shared" si="5"/>
        <v>Low Fiber</v>
      </c>
    </row>
    <row r="74" spans="1:19" x14ac:dyDescent="0.3">
      <c r="A74" t="s">
        <v>41</v>
      </c>
      <c r="B74" t="s">
        <v>27</v>
      </c>
      <c r="C74" t="s">
        <v>18</v>
      </c>
      <c r="D74">
        <v>110</v>
      </c>
      <c r="E74">
        <v>1</v>
      </c>
      <c r="F74">
        <v>1</v>
      </c>
      <c r="G74">
        <v>180</v>
      </c>
      <c r="H74">
        <v>0</v>
      </c>
      <c r="I74">
        <v>12</v>
      </c>
      <c r="J74">
        <v>13</v>
      </c>
      <c r="K74">
        <v>65</v>
      </c>
      <c r="L74">
        <v>25</v>
      </c>
      <c r="M74">
        <v>2</v>
      </c>
      <c r="N74">
        <v>1</v>
      </c>
      <c r="O74">
        <v>1</v>
      </c>
      <c r="P74">
        <v>22.396512999999999</v>
      </c>
      <c r="Q74" t="str">
        <f t="shared" si="3"/>
        <v>High Sugar</v>
      </c>
      <c r="R74">
        <f t="shared" si="4"/>
        <v>-13</v>
      </c>
      <c r="S74" t="str">
        <f t="shared" si="5"/>
        <v>Low Fiber</v>
      </c>
    </row>
    <row r="75" spans="1:19" x14ac:dyDescent="0.3">
      <c r="A75" t="s">
        <v>59</v>
      </c>
      <c r="B75" t="s">
        <v>20</v>
      </c>
      <c r="C75" t="s">
        <v>18</v>
      </c>
      <c r="D75">
        <v>120</v>
      </c>
      <c r="E75">
        <v>1</v>
      </c>
      <c r="F75">
        <v>2</v>
      </c>
      <c r="G75">
        <v>220</v>
      </c>
      <c r="H75">
        <v>1</v>
      </c>
      <c r="I75">
        <v>12</v>
      </c>
      <c r="J75">
        <v>11</v>
      </c>
      <c r="K75">
        <v>45</v>
      </c>
      <c r="L75">
        <v>25</v>
      </c>
      <c r="M75">
        <v>2</v>
      </c>
      <c r="N75">
        <v>1</v>
      </c>
      <c r="O75">
        <v>1</v>
      </c>
      <c r="P75">
        <v>21.871292</v>
      </c>
      <c r="Q75" t="str">
        <f t="shared" si="3"/>
        <v>High Sugar</v>
      </c>
      <c r="R75">
        <f t="shared" si="4"/>
        <v>-10</v>
      </c>
      <c r="S75" t="str">
        <f t="shared" si="5"/>
        <v>Low Fiber</v>
      </c>
    </row>
    <row r="76" spans="1:19" x14ac:dyDescent="0.3">
      <c r="A76" t="s">
        <v>35</v>
      </c>
      <c r="B76" t="s">
        <v>27</v>
      </c>
      <c r="C76" t="s">
        <v>18</v>
      </c>
      <c r="D76">
        <v>120</v>
      </c>
      <c r="E76">
        <v>1</v>
      </c>
      <c r="F76">
        <v>3</v>
      </c>
      <c r="G76">
        <v>210</v>
      </c>
      <c r="H76">
        <v>0</v>
      </c>
      <c r="I76">
        <v>13</v>
      </c>
      <c r="J76">
        <v>9</v>
      </c>
      <c r="K76">
        <v>45</v>
      </c>
      <c r="L76">
        <v>25</v>
      </c>
      <c r="M76">
        <v>2</v>
      </c>
      <c r="N76">
        <v>1</v>
      </c>
      <c r="O76">
        <v>0.75</v>
      </c>
      <c r="P76">
        <v>19.823573</v>
      </c>
      <c r="Q76" t="str">
        <f t="shared" si="3"/>
        <v>Low Sugar</v>
      </c>
      <c r="R76">
        <f t="shared" si="4"/>
        <v>-9</v>
      </c>
      <c r="S76" t="str">
        <f t="shared" si="5"/>
        <v>Low Fiber</v>
      </c>
    </row>
    <row r="77" spans="1:19" x14ac:dyDescent="0.3">
      <c r="A77" t="s">
        <v>33</v>
      </c>
      <c r="B77" t="s">
        <v>20</v>
      </c>
      <c r="C77" t="s">
        <v>18</v>
      </c>
      <c r="D77">
        <v>120</v>
      </c>
      <c r="E77">
        <v>1</v>
      </c>
      <c r="F77">
        <v>2</v>
      </c>
      <c r="G77">
        <v>220</v>
      </c>
      <c r="H77">
        <v>0</v>
      </c>
      <c r="I77">
        <v>12</v>
      </c>
      <c r="J77">
        <v>12</v>
      </c>
      <c r="K77">
        <v>35</v>
      </c>
      <c r="L77">
        <v>25</v>
      </c>
      <c r="M77">
        <v>2</v>
      </c>
      <c r="N77">
        <v>1</v>
      </c>
      <c r="O77">
        <v>0.75</v>
      </c>
      <c r="P77">
        <v>18.042850999999999</v>
      </c>
      <c r="Q77" t="str">
        <f t="shared" si="3"/>
        <v>High Sugar</v>
      </c>
      <c r="R77">
        <f t="shared" si="4"/>
        <v>-12</v>
      </c>
      <c r="S77" t="str">
        <f t="shared" si="5"/>
        <v>Low Fiber</v>
      </c>
    </row>
    <row r="78" spans="1:19" x14ac:dyDescent="0.3">
      <c r="D78" s="1">
        <v>106.8831169</v>
      </c>
      <c r="J78" s="1">
        <f>_xlfn.STDEV.S(J2:J77)</f>
        <v>4.3786563668490093</v>
      </c>
    </row>
  </sheetData>
  <autoFilter ref="A1:S78" xr:uid="{ED2A6581-67CA-4121-AA3B-7112EA19C149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Dashboard</vt:lpstr>
      <vt:lpstr>cereal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2026-05-08T10:49:43Z</dcterms:created>
  <dcterms:modified xsi:type="dcterms:W3CDTF">2026-05-19T15:02:52Z</dcterms:modified>
</cp:coreProperties>
</file>